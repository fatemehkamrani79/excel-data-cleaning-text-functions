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showInkAnnotation="0" autoCompressPictures="0"/>
  <xr:revisionPtr revIDLastSave="0" documentId="8_{5CA1DD66-1FCE-47A2-A122-0880AA336B48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Raw_Data" sheetId="2" r:id="rId1"/>
    <sheet name="Cleaned_Data" sheetId="7" r:id="rId2"/>
    <sheet name="Alternative_Methods" sheetId="5" r:id="rId3"/>
    <sheet name="Validation" sheetId="4" r:id="rId4"/>
    <sheet name="Documentation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7" l="1"/>
  <c r="E5" i="5"/>
  <c r="E6" i="5"/>
  <c r="E7" i="5"/>
  <c r="E8" i="5"/>
  <c r="E9" i="5"/>
  <c r="D5" i="5"/>
  <c r="D6" i="5"/>
  <c r="D7" i="5"/>
  <c r="D8" i="5"/>
  <c r="D9" i="5"/>
  <c r="C5" i="5"/>
  <c r="C6" i="5"/>
  <c r="C7" i="5"/>
  <c r="C8" i="5"/>
  <c r="C9" i="5"/>
  <c r="B5" i="5"/>
  <c r="B6" i="5"/>
  <c r="B7" i="5"/>
  <c r="B8" i="5"/>
  <c r="B9" i="5"/>
  <c r="C4" i="4"/>
  <c r="C5" i="4"/>
  <c r="C6" i="4" a="1"/>
  <c r="C6" i="4"/>
  <c r="C7" i="4" a="1"/>
  <c r="C7" i="4"/>
  <c r="C8" i="4" a="1"/>
  <c r="C8" i="4"/>
  <c r="C9" i="4" a="1"/>
  <c r="C9" i="4"/>
  <c r="C10" i="4" a="1"/>
  <c r="C10" i="4"/>
  <c r="C11" i="4" a="1"/>
  <c r="C11" i="4"/>
  <c r="C12" i="4" a="1"/>
  <c r="C12" i="4" s="1"/>
  <c r="C13" i="4"/>
  <c r="C14" i="4" a="1"/>
  <c r="C14" i="4"/>
  <c r="C15" i="4" a="1"/>
  <c r="C15" i="4"/>
  <c r="C16" i="4" a="1"/>
  <c r="C16" i="4"/>
  <c r="C17" i="4" a="1"/>
  <c r="C17" i="4"/>
  <c r="C18" i="4" a="1"/>
  <c r="C18" i="4"/>
  <c r="C19" i="4" a="1"/>
  <c r="C19" i="4" s="1"/>
  <c r="O201" i="7"/>
  <c r="N201" i="7"/>
  <c r="M201" i="7"/>
  <c r="A201" i="7"/>
  <c r="O200" i="7"/>
  <c r="R200" i="7" s="1"/>
  <c r="N200" i="7"/>
  <c r="M200" i="7"/>
  <c r="A200" i="7"/>
  <c r="L200" i="7" s="1"/>
  <c r="Q199" i="7"/>
  <c r="P199" i="7"/>
  <c r="O199" i="7"/>
  <c r="R199" i="7" s="1"/>
  <c r="N199" i="7"/>
  <c r="M199" i="7"/>
  <c r="L199" i="7"/>
  <c r="A199" i="7"/>
  <c r="O198" i="7"/>
  <c r="N198" i="7"/>
  <c r="M198" i="7"/>
  <c r="L198" i="7"/>
  <c r="A198" i="7"/>
  <c r="O197" i="7"/>
  <c r="N197" i="7"/>
  <c r="M197" i="7"/>
  <c r="A197" i="7"/>
  <c r="C197" i="7" s="1"/>
  <c r="O196" i="7"/>
  <c r="R196" i="7" s="1"/>
  <c r="N196" i="7"/>
  <c r="M196" i="7"/>
  <c r="L196" i="7"/>
  <c r="A196" i="7"/>
  <c r="C196" i="7" s="1"/>
  <c r="O195" i="7"/>
  <c r="N195" i="7"/>
  <c r="M195" i="7"/>
  <c r="A195" i="7"/>
  <c r="O194" i="7"/>
  <c r="R194" i="7" s="1"/>
  <c r="N194" i="7"/>
  <c r="M194" i="7"/>
  <c r="A194" i="7"/>
  <c r="C194" i="7" s="1"/>
  <c r="Q193" i="7"/>
  <c r="O193" i="7"/>
  <c r="R193" i="7" s="1"/>
  <c r="N193" i="7"/>
  <c r="M193" i="7"/>
  <c r="A193" i="7"/>
  <c r="L193" i="7" s="1"/>
  <c r="O192" i="7"/>
  <c r="R192" i="7" s="1"/>
  <c r="N192" i="7"/>
  <c r="M192" i="7"/>
  <c r="L192" i="7"/>
  <c r="A192" i="7"/>
  <c r="Q191" i="7"/>
  <c r="P191" i="7"/>
  <c r="O191" i="7"/>
  <c r="R191" i="7" s="1"/>
  <c r="N191" i="7"/>
  <c r="M191" i="7"/>
  <c r="L191" i="7"/>
  <c r="A191" i="7"/>
  <c r="O190" i="7"/>
  <c r="R190" i="7" s="1"/>
  <c r="N190" i="7"/>
  <c r="M190" i="7"/>
  <c r="A190" i="7"/>
  <c r="L190" i="7" s="1"/>
  <c r="Q189" i="7"/>
  <c r="P189" i="7"/>
  <c r="O189" i="7"/>
  <c r="R189" i="7" s="1"/>
  <c r="N189" i="7"/>
  <c r="M189" i="7"/>
  <c r="A189" i="7"/>
  <c r="L189" i="7" s="1"/>
  <c r="O188" i="7"/>
  <c r="N188" i="7"/>
  <c r="M188" i="7"/>
  <c r="A188" i="7"/>
  <c r="L188" i="7" s="1"/>
  <c r="O187" i="7"/>
  <c r="R187" i="7" s="1"/>
  <c r="N187" i="7"/>
  <c r="M187" i="7"/>
  <c r="A187" i="7"/>
  <c r="L187" i="7" s="1"/>
  <c r="O186" i="7"/>
  <c r="R186" i="7" s="1"/>
  <c r="N186" i="7"/>
  <c r="M186" i="7"/>
  <c r="A186" i="7"/>
  <c r="L186" i="7" s="1"/>
  <c r="Q185" i="7"/>
  <c r="P185" i="7"/>
  <c r="O185" i="7"/>
  <c r="R185" i="7" s="1"/>
  <c r="N185" i="7"/>
  <c r="M185" i="7"/>
  <c r="A185" i="7"/>
  <c r="C185" i="7" s="1"/>
  <c r="R184" i="7"/>
  <c r="Q184" i="7"/>
  <c r="O184" i="7"/>
  <c r="P184" i="7" s="1"/>
  <c r="N184" i="7"/>
  <c r="M184" i="7"/>
  <c r="A184" i="7"/>
  <c r="L184" i="7" s="1"/>
  <c r="O183" i="7"/>
  <c r="R183" i="7" s="1"/>
  <c r="N183" i="7"/>
  <c r="M183" i="7"/>
  <c r="L183" i="7"/>
  <c r="A183" i="7"/>
  <c r="R182" i="7"/>
  <c r="Q182" i="7"/>
  <c r="P182" i="7"/>
  <c r="O182" i="7"/>
  <c r="N182" i="7"/>
  <c r="M182" i="7"/>
  <c r="A182" i="7"/>
  <c r="L182" i="7" s="1"/>
  <c r="O181" i="7"/>
  <c r="N181" i="7"/>
  <c r="M181" i="7"/>
  <c r="A181" i="7"/>
  <c r="C181" i="7" s="1"/>
  <c r="O180" i="7"/>
  <c r="N180" i="7"/>
  <c r="M180" i="7"/>
  <c r="L180" i="7"/>
  <c r="A180" i="7"/>
  <c r="O179" i="7"/>
  <c r="R179" i="7" s="1"/>
  <c r="N179" i="7"/>
  <c r="M179" i="7"/>
  <c r="A179" i="7"/>
  <c r="C179" i="7" s="1"/>
  <c r="O178" i="7"/>
  <c r="N178" i="7"/>
  <c r="M178" i="7"/>
  <c r="A178" i="7"/>
  <c r="Q177" i="7"/>
  <c r="P177" i="7"/>
  <c r="O177" i="7"/>
  <c r="R177" i="7" s="1"/>
  <c r="N177" i="7"/>
  <c r="M177" i="7"/>
  <c r="A177" i="7"/>
  <c r="C177" i="7" s="1"/>
  <c r="R176" i="7"/>
  <c r="Q176" i="7"/>
  <c r="O176" i="7"/>
  <c r="P176" i="7" s="1"/>
  <c r="N176" i="7"/>
  <c r="M176" i="7"/>
  <c r="A176" i="7"/>
  <c r="L176" i="7" s="1"/>
  <c r="O175" i="7"/>
  <c r="R175" i="7" s="1"/>
  <c r="N175" i="7"/>
  <c r="M175" i="7"/>
  <c r="L175" i="7"/>
  <c r="A175" i="7"/>
  <c r="R174" i="7"/>
  <c r="Q174" i="7"/>
  <c r="P174" i="7"/>
  <c r="O174" i="7"/>
  <c r="N174" i="7"/>
  <c r="M174" i="7"/>
  <c r="L174" i="7"/>
  <c r="A174" i="7"/>
  <c r="O173" i="7"/>
  <c r="N173" i="7"/>
  <c r="M173" i="7"/>
  <c r="A173" i="7"/>
  <c r="C173" i="7" s="1"/>
  <c r="R172" i="7"/>
  <c r="O172" i="7"/>
  <c r="Q172" i="7" s="1"/>
  <c r="N172" i="7"/>
  <c r="M172" i="7"/>
  <c r="A172" i="7"/>
  <c r="L172" i="7" s="1"/>
  <c r="O171" i="7"/>
  <c r="N171" i="7"/>
  <c r="M171" i="7"/>
  <c r="A171" i="7"/>
  <c r="C171" i="7" s="1"/>
  <c r="O170" i="7"/>
  <c r="R170" i="7" s="1"/>
  <c r="N170" i="7"/>
  <c r="M170" i="7"/>
  <c r="A170" i="7"/>
  <c r="L170" i="7" s="1"/>
  <c r="Q169" i="7"/>
  <c r="O169" i="7"/>
  <c r="R169" i="7" s="1"/>
  <c r="N169" i="7"/>
  <c r="M169" i="7"/>
  <c r="A169" i="7"/>
  <c r="C169" i="7" s="1"/>
  <c r="O168" i="7"/>
  <c r="R168" i="7" s="1"/>
  <c r="N168" i="7"/>
  <c r="M168" i="7"/>
  <c r="A168" i="7"/>
  <c r="L168" i="7" s="1"/>
  <c r="Q167" i="7"/>
  <c r="P167" i="7"/>
  <c r="O167" i="7"/>
  <c r="R167" i="7" s="1"/>
  <c r="N167" i="7"/>
  <c r="M167" i="7"/>
  <c r="A167" i="7"/>
  <c r="C167" i="7" s="1"/>
  <c r="O166" i="7"/>
  <c r="R166" i="7" s="1"/>
  <c r="N166" i="7"/>
  <c r="M166" i="7"/>
  <c r="L166" i="7"/>
  <c r="A166" i="7"/>
  <c r="P165" i="7"/>
  <c r="O165" i="7"/>
  <c r="N165" i="7"/>
  <c r="M165" i="7"/>
  <c r="A165" i="7"/>
  <c r="C165" i="7" s="1"/>
  <c r="O164" i="7"/>
  <c r="P164" i="7" s="1"/>
  <c r="N164" i="7"/>
  <c r="M164" i="7"/>
  <c r="A164" i="7"/>
  <c r="L164" i="7" s="1"/>
  <c r="O163" i="7"/>
  <c r="N163" i="7"/>
  <c r="M163" i="7"/>
  <c r="A163" i="7"/>
  <c r="L163" i="7" s="1"/>
  <c r="O162" i="7"/>
  <c r="P162" i="7" s="1"/>
  <c r="N162" i="7"/>
  <c r="M162" i="7"/>
  <c r="A162" i="7"/>
  <c r="L162" i="7" s="1"/>
  <c r="Q161" i="7"/>
  <c r="O161" i="7"/>
  <c r="R161" i="7" s="1"/>
  <c r="N161" i="7"/>
  <c r="M161" i="7"/>
  <c r="A161" i="7"/>
  <c r="L161" i="7" s="1"/>
  <c r="R160" i="7"/>
  <c r="Q160" i="7"/>
  <c r="P160" i="7"/>
  <c r="O160" i="7"/>
  <c r="N160" i="7"/>
  <c r="M160" i="7"/>
  <c r="A160" i="7"/>
  <c r="Q159" i="7"/>
  <c r="P159" i="7"/>
  <c r="O159" i="7"/>
  <c r="R159" i="7" s="1"/>
  <c r="N159" i="7"/>
  <c r="M159" i="7"/>
  <c r="L159" i="7"/>
  <c r="A159" i="7"/>
  <c r="O158" i="7"/>
  <c r="R158" i="7" s="1"/>
  <c r="N158" i="7"/>
  <c r="M158" i="7"/>
  <c r="A158" i="7"/>
  <c r="C158" i="7" s="1"/>
  <c r="O157" i="7"/>
  <c r="N157" i="7"/>
  <c r="M157" i="7"/>
  <c r="L157" i="7"/>
  <c r="A157" i="7"/>
  <c r="O156" i="7"/>
  <c r="N156" i="7"/>
  <c r="M156" i="7"/>
  <c r="L156" i="7"/>
  <c r="A156" i="7"/>
  <c r="O155" i="7"/>
  <c r="R155" i="7" s="1"/>
  <c r="N155" i="7"/>
  <c r="M155" i="7"/>
  <c r="A155" i="7"/>
  <c r="L155" i="7" s="1"/>
  <c r="O154" i="7"/>
  <c r="R154" i="7" s="1"/>
  <c r="N154" i="7"/>
  <c r="M154" i="7"/>
  <c r="L154" i="7"/>
  <c r="A154" i="7"/>
  <c r="O153" i="7"/>
  <c r="R153" i="7" s="1"/>
  <c r="N153" i="7"/>
  <c r="M153" i="7"/>
  <c r="A153" i="7"/>
  <c r="C153" i="7" s="1"/>
  <c r="R152" i="7"/>
  <c r="Q152" i="7"/>
  <c r="O152" i="7"/>
  <c r="P152" i="7" s="1"/>
  <c r="N152" i="7"/>
  <c r="M152" i="7"/>
  <c r="A152" i="7"/>
  <c r="C152" i="7" s="1"/>
  <c r="Q151" i="7"/>
  <c r="P151" i="7"/>
  <c r="O151" i="7"/>
  <c r="R151" i="7" s="1"/>
  <c r="N151" i="7"/>
  <c r="M151" i="7"/>
  <c r="L151" i="7"/>
  <c r="A151" i="7"/>
  <c r="R150" i="7"/>
  <c r="Q150" i="7"/>
  <c r="P150" i="7"/>
  <c r="O150" i="7"/>
  <c r="N150" i="7"/>
  <c r="M150" i="7"/>
  <c r="A150" i="7"/>
  <c r="C150" i="7" s="1"/>
  <c r="Q149" i="7"/>
  <c r="P149" i="7"/>
  <c r="O149" i="7"/>
  <c r="R149" i="7" s="1"/>
  <c r="N149" i="7"/>
  <c r="M149" i="7"/>
  <c r="A149" i="7"/>
  <c r="C149" i="7" s="1"/>
  <c r="P148" i="7"/>
  <c r="O148" i="7"/>
  <c r="N148" i="7"/>
  <c r="M148" i="7"/>
  <c r="A148" i="7"/>
  <c r="C148" i="7" s="1"/>
  <c r="O147" i="7"/>
  <c r="R147" i="7" s="1"/>
  <c r="N147" i="7"/>
  <c r="M147" i="7"/>
  <c r="L147" i="7"/>
  <c r="A147" i="7"/>
  <c r="O146" i="7"/>
  <c r="N146" i="7"/>
  <c r="M146" i="7"/>
  <c r="A146" i="7"/>
  <c r="L146" i="7" s="1"/>
  <c r="O145" i="7"/>
  <c r="N145" i="7"/>
  <c r="M145" i="7"/>
  <c r="A145" i="7"/>
  <c r="C145" i="7" s="1"/>
  <c r="R144" i="7"/>
  <c r="Q144" i="7"/>
  <c r="O144" i="7"/>
  <c r="P144" i="7" s="1"/>
  <c r="N144" i="7"/>
  <c r="M144" i="7"/>
  <c r="A144" i="7"/>
  <c r="L144" i="7" s="1"/>
  <c r="Q143" i="7"/>
  <c r="P143" i="7"/>
  <c r="O143" i="7"/>
  <c r="R143" i="7" s="1"/>
  <c r="N143" i="7"/>
  <c r="M143" i="7"/>
  <c r="A143" i="7"/>
  <c r="C143" i="7" s="1"/>
  <c r="R142" i="7"/>
  <c r="Q142" i="7"/>
  <c r="P142" i="7"/>
  <c r="O142" i="7"/>
  <c r="N142" i="7"/>
  <c r="M142" i="7"/>
  <c r="L142" i="7"/>
  <c r="A142" i="7"/>
  <c r="O141" i="7"/>
  <c r="N141" i="7"/>
  <c r="M141" i="7"/>
  <c r="A141" i="7"/>
  <c r="C141" i="7" s="1"/>
  <c r="O140" i="7"/>
  <c r="R140" i="7" s="1"/>
  <c r="N140" i="7"/>
  <c r="M140" i="7"/>
  <c r="A140" i="7"/>
  <c r="C140" i="7" s="1"/>
  <c r="O139" i="7"/>
  <c r="N139" i="7"/>
  <c r="M139" i="7"/>
  <c r="L139" i="7"/>
  <c r="A139" i="7"/>
  <c r="O138" i="7"/>
  <c r="N138" i="7"/>
  <c r="M138" i="7"/>
  <c r="A138" i="7"/>
  <c r="L138" i="7" s="1"/>
  <c r="Q137" i="7"/>
  <c r="O137" i="7"/>
  <c r="R137" i="7" s="1"/>
  <c r="N137" i="7"/>
  <c r="M137" i="7"/>
  <c r="A137" i="7"/>
  <c r="C137" i="7" s="1"/>
  <c r="R136" i="7"/>
  <c r="Q136" i="7"/>
  <c r="P136" i="7"/>
  <c r="O136" i="7"/>
  <c r="N136" i="7"/>
  <c r="M136" i="7"/>
  <c r="A136" i="7"/>
  <c r="L136" i="7" s="1"/>
  <c r="Q135" i="7"/>
  <c r="P135" i="7"/>
  <c r="O135" i="7"/>
  <c r="R135" i="7" s="1"/>
  <c r="N135" i="7"/>
  <c r="M135" i="7"/>
  <c r="A135" i="7"/>
  <c r="L135" i="7" s="1"/>
  <c r="O134" i="7"/>
  <c r="Q134" i="7" s="1"/>
  <c r="N134" i="7"/>
  <c r="M134" i="7"/>
  <c r="L134" i="7"/>
  <c r="A134" i="7"/>
  <c r="O133" i="7"/>
  <c r="P133" i="7" s="1"/>
  <c r="N133" i="7"/>
  <c r="M133" i="7"/>
  <c r="A133" i="7"/>
  <c r="C133" i="7" s="1"/>
  <c r="O132" i="7"/>
  <c r="R132" i="7" s="1"/>
  <c r="N132" i="7"/>
  <c r="M132" i="7"/>
  <c r="L132" i="7"/>
  <c r="A132" i="7"/>
  <c r="O131" i="7"/>
  <c r="N131" i="7"/>
  <c r="M131" i="7"/>
  <c r="A131" i="7"/>
  <c r="L131" i="7" s="1"/>
  <c r="O130" i="7"/>
  <c r="R130" i="7" s="1"/>
  <c r="N130" i="7"/>
  <c r="M130" i="7"/>
  <c r="A130" i="7"/>
  <c r="C130" i="7" s="1"/>
  <c r="Q129" i="7"/>
  <c r="O129" i="7"/>
  <c r="R129" i="7" s="1"/>
  <c r="N129" i="7"/>
  <c r="M129" i="7"/>
  <c r="A129" i="7"/>
  <c r="L129" i="7" s="1"/>
  <c r="O128" i="7"/>
  <c r="R128" i="7" s="1"/>
  <c r="N128" i="7"/>
  <c r="M128" i="7"/>
  <c r="A128" i="7"/>
  <c r="C128" i="7" s="1"/>
  <c r="Q127" i="7"/>
  <c r="P127" i="7"/>
  <c r="O127" i="7"/>
  <c r="R127" i="7" s="1"/>
  <c r="N127" i="7"/>
  <c r="M127" i="7"/>
  <c r="L127" i="7"/>
  <c r="A127" i="7"/>
  <c r="O126" i="7"/>
  <c r="N126" i="7"/>
  <c r="M126" i="7"/>
  <c r="A126" i="7"/>
  <c r="C126" i="7" s="1"/>
  <c r="O125" i="7"/>
  <c r="R125" i="7" s="1"/>
  <c r="N125" i="7"/>
  <c r="M125" i="7"/>
  <c r="A125" i="7"/>
  <c r="C125" i="7" s="1"/>
  <c r="P124" i="7"/>
  <c r="O124" i="7"/>
  <c r="N124" i="7"/>
  <c r="M124" i="7"/>
  <c r="L124" i="7"/>
  <c r="A124" i="7"/>
  <c r="C124" i="7" s="1"/>
  <c r="O123" i="7"/>
  <c r="R123" i="7" s="1"/>
  <c r="N123" i="7"/>
  <c r="M123" i="7"/>
  <c r="A123" i="7"/>
  <c r="O122" i="7"/>
  <c r="N122" i="7"/>
  <c r="M122" i="7"/>
  <c r="L122" i="7"/>
  <c r="A122" i="7"/>
  <c r="O121" i="7"/>
  <c r="N121" i="7"/>
  <c r="M121" i="7"/>
  <c r="A121" i="7"/>
  <c r="C121" i="7" s="1"/>
  <c r="R120" i="7"/>
  <c r="Q120" i="7"/>
  <c r="O120" i="7"/>
  <c r="P120" i="7" s="1"/>
  <c r="N120" i="7"/>
  <c r="M120" i="7"/>
  <c r="A120" i="7"/>
  <c r="C120" i="7" s="1"/>
  <c r="Q119" i="7"/>
  <c r="P119" i="7"/>
  <c r="O119" i="7"/>
  <c r="R119" i="7" s="1"/>
  <c r="N119" i="7"/>
  <c r="M119" i="7"/>
  <c r="L119" i="7"/>
  <c r="A119" i="7"/>
  <c r="R118" i="7"/>
  <c r="Q118" i="7"/>
  <c r="P118" i="7"/>
  <c r="O118" i="7"/>
  <c r="N118" i="7"/>
  <c r="M118" i="7"/>
  <c r="A118" i="7"/>
  <c r="L118" i="7" s="1"/>
  <c r="Q117" i="7"/>
  <c r="P117" i="7"/>
  <c r="O117" i="7"/>
  <c r="R117" i="7" s="1"/>
  <c r="N117" i="7"/>
  <c r="M117" i="7"/>
  <c r="A117" i="7"/>
  <c r="O116" i="7"/>
  <c r="N116" i="7"/>
  <c r="M116" i="7"/>
  <c r="A116" i="7"/>
  <c r="L116" i="7" s="1"/>
  <c r="O115" i="7"/>
  <c r="R115" i="7" s="1"/>
  <c r="N115" i="7"/>
  <c r="M115" i="7"/>
  <c r="L115" i="7"/>
  <c r="A115" i="7"/>
  <c r="O114" i="7"/>
  <c r="R114" i="7" s="1"/>
  <c r="N114" i="7"/>
  <c r="M114" i="7"/>
  <c r="A114" i="7"/>
  <c r="L114" i="7" s="1"/>
  <c r="Q113" i="7"/>
  <c r="P113" i="7"/>
  <c r="O113" i="7"/>
  <c r="R113" i="7" s="1"/>
  <c r="N113" i="7"/>
  <c r="M113" i="7"/>
  <c r="A113" i="7"/>
  <c r="L113" i="7" s="1"/>
  <c r="R112" i="7"/>
  <c r="Q112" i="7"/>
  <c r="O112" i="7"/>
  <c r="P112" i="7" s="1"/>
  <c r="N112" i="7"/>
  <c r="M112" i="7"/>
  <c r="A112" i="7"/>
  <c r="L112" i="7" s="1"/>
  <c r="O111" i="7"/>
  <c r="R111" i="7" s="1"/>
  <c r="N111" i="7"/>
  <c r="M111" i="7"/>
  <c r="A111" i="7"/>
  <c r="L111" i="7" s="1"/>
  <c r="R110" i="7"/>
  <c r="Q110" i="7"/>
  <c r="P110" i="7"/>
  <c r="O110" i="7"/>
  <c r="N110" i="7"/>
  <c r="M110" i="7"/>
  <c r="L110" i="7"/>
  <c r="A110" i="7"/>
  <c r="O109" i="7"/>
  <c r="N109" i="7"/>
  <c r="M109" i="7"/>
  <c r="A109" i="7"/>
  <c r="C109" i="7" s="1"/>
  <c r="O108" i="7"/>
  <c r="R108" i="7" s="1"/>
  <c r="N108" i="7"/>
  <c r="M108" i="7"/>
  <c r="L108" i="7"/>
  <c r="A108" i="7"/>
  <c r="O107" i="7"/>
  <c r="N107" i="7"/>
  <c r="M107" i="7"/>
  <c r="A107" i="7"/>
  <c r="C107" i="7" s="1"/>
  <c r="R106" i="7"/>
  <c r="Q106" i="7"/>
  <c r="P106" i="7"/>
  <c r="O106" i="7"/>
  <c r="N106" i="7"/>
  <c r="M106" i="7"/>
  <c r="A106" i="7"/>
  <c r="Q105" i="7"/>
  <c r="O105" i="7"/>
  <c r="R105" i="7" s="1"/>
  <c r="N105" i="7"/>
  <c r="M105" i="7"/>
  <c r="A105" i="7"/>
  <c r="C105" i="7" s="1"/>
  <c r="O104" i="7"/>
  <c r="R104" i="7" s="1"/>
  <c r="N104" i="7"/>
  <c r="M104" i="7"/>
  <c r="A104" i="7"/>
  <c r="L104" i="7" s="1"/>
  <c r="Q103" i="7"/>
  <c r="P103" i="7"/>
  <c r="O103" i="7"/>
  <c r="R103" i="7" s="1"/>
  <c r="N103" i="7"/>
  <c r="M103" i="7"/>
  <c r="L103" i="7"/>
  <c r="A103" i="7"/>
  <c r="O102" i="7"/>
  <c r="N102" i="7"/>
  <c r="M102" i="7"/>
  <c r="L102" i="7"/>
  <c r="A102" i="7"/>
  <c r="O101" i="7"/>
  <c r="P101" i="7" s="1"/>
  <c r="N101" i="7"/>
  <c r="M101" i="7"/>
  <c r="L101" i="7"/>
  <c r="A101" i="7"/>
  <c r="C101" i="7" s="1"/>
  <c r="R100" i="7"/>
  <c r="O100" i="7"/>
  <c r="Q100" i="7" s="1"/>
  <c r="N100" i="7"/>
  <c r="M100" i="7"/>
  <c r="A100" i="7"/>
  <c r="L100" i="7" s="1"/>
  <c r="O99" i="7"/>
  <c r="N99" i="7"/>
  <c r="M99" i="7"/>
  <c r="A99" i="7"/>
  <c r="L99" i="7" s="1"/>
  <c r="O98" i="7"/>
  <c r="R98" i="7" s="1"/>
  <c r="N98" i="7"/>
  <c r="M98" i="7"/>
  <c r="A98" i="7"/>
  <c r="L98" i="7" s="1"/>
  <c r="O97" i="7"/>
  <c r="Q97" i="7" s="1"/>
  <c r="N97" i="7"/>
  <c r="M97" i="7"/>
  <c r="A97" i="7"/>
  <c r="L97" i="7" s="1"/>
  <c r="O96" i="7"/>
  <c r="Q96" i="7" s="1"/>
  <c r="N96" i="7"/>
  <c r="M96" i="7"/>
  <c r="L96" i="7"/>
  <c r="A96" i="7"/>
  <c r="Q95" i="7"/>
  <c r="P95" i="7"/>
  <c r="O95" i="7"/>
  <c r="R95" i="7" s="1"/>
  <c r="N95" i="7"/>
  <c r="M95" i="7"/>
  <c r="L95" i="7"/>
  <c r="A95" i="7"/>
  <c r="O94" i="7"/>
  <c r="R94" i="7" s="1"/>
  <c r="N94" i="7"/>
  <c r="M94" i="7"/>
  <c r="A94" i="7"/>
  <c r="C94" i="7" s="1"/>
  <c r="Q93" i="7"/>
  <c r="P93" i="7"/>
  <c r="O93" i="7"/>
  <c r="R93" i="7" s="1"/>
  <c r="N93" i="7"/>
  <c r="M93" i="7"/>
  <c r="A93" i="7"/>
  <c r="L93" i="7" s="1"/>
  <c r="O92" i="7"/>
  <c r="N92" i="7"/>
  <c r="M92" i="7"/>
  <c r="A92" i="7"/>
  <c r="L92" i="7" s="1"/>
  <c r="O91" i="7"/>
  <c r="R91" i="7" s="1"/>
  <c r="N91" i="7"/>
  <c r="M91" i="7"/>
  <c r="A91" i="7"/>
  <c r="L91" i="7" s="1"/>
  <c r="O90" i="7"/>
  <c r="N90" i="7"/>
  <c r="M90" i="7"/>
  <c r="A90" i="7"/>
  <c r="L90" i="7" s="1"/>
  <c r="O89" i="7"/>
  <c r="R89" i="7" s="1"/>
  <c r="N89" i="7"/>
  <c r="M89" i="7"/>
  <c r="A89" i="7"/>
  <c r="R88" i="7"/>
  <c r="Q88" i="7"/>
  <c r="O88" i="7"/>
  <c r="P88" i="7" s="1"/>
  <c r="N88" i="7"/>
  <c r="M88" i="7"/>
  <c r="A88" i="7"/>
  <c r="C88" i="7" s="1"/>
  <c r="O87" i="7"/>
  <c r="R87" i="7" s="1"/>
  <c r="N87" i="7"/>
  <c r="M87" i="7"/>
  <c r="L87" i="7"/>
  <c r="A87" i="7"/>
  <c r="R86" i="7"/>
  <c r="Q86" i="7"/>
  <c r="P86" i="7"/>
  <c r="O86" i="7"/>
  <c r="N86" i="7"/>
  <c r="M86" i="7"/>
  <c r="A86" i="7"/>
  <c r="O85" i="7"/>
  <c r="R85" i="7" s="1"/>
  <c r="N85" i="7"/>
  <c r="M85" i="7"/>
  <c r="A85" i="7"/>
  <c r="C85" i="7" s="1"/>
  <c r="O84" i="7"/>
  <c r="R84" i="7" s="1"/>
  <c r="N84" i="7"/>
  <c r="M84" i="7"/>
  <c r="A84" i="7"/>
  <c r="C84" i="7" s="1"/>
  <c r="O83" i="7"/>
  <c r="N83" i="7"/>
  <c r="M83" i="7"/>
  <c r="A83" i="7"/>
  <c r="L83" i="7" s="1"/>
  <c r="O82" i="7"/>
  <c r="Q82" i="7" s="1"/>
  <c r="N82" i="7"/>
  <c r="M82" i="7"/>
  <c r="A82" i="7"/>
  <c r="L82" i="7" s="1"/>
  <c r="O81" i="7"/>
  <c r="R81" i="7" s="1"/>
  <c r="N81" i="7"/>
  <c r="M81" i="7"/>
  <c r="A81" i="7"/>
  <c r="C81" i="7" s="1"/>
  <c r="R80" i="7"/>
  <c r="Q80" i="7"/>
  <c r="O80" i="7"/>
  <c r="P80" i="7" s="1"/>
  <c r="N80" i="7"/>
  <c r="M80" i="7"/>
  <c r="A80" i="7"/>
  <c r="L80" i="7" s="1"/>
  <c r="O79" i="7"/>
  <c r="R79" i="7" s="1"/>
  <c r="N79" i="7"/>
  <c r="M79" i="7"/>
  <c r="A79" i="7"/>
  <c r="L79" i="7" s="1"/>
  <c r="R78" i="7"/>
  <c r="Q78" i="7"/>
  <c r="P78" i="7"/>
  <c r="O78" i="7"/>
  <c r="N78" i="7"/>
  <c r="M78" i="7"/>
  <c r="L78" i="7"/>
  <c r="A78" i="7"/>
  <c r="O77" i="7"/>
  <c r="P77" i="7" s="1"/>
  <c r="N77" i="7"/>
  <c r="M77" i="7"/>
  <c r="L77" i="7"/>
  <c r="A77" i="7"/>
  <c r="O76" i="7"/>
  <c r="N76" i="7"/>
  <c r="M76" i="7"/>
  <c r="A76" i="7"/>
  <c r="L76" i="7" s="1"/>
  <c r="O75" i="7"/>
  <c r="N75" i="7"/>
  <c r="M75" i="7"/>
  <c r="A75" i="7"/>
  <c r="L75" i="7" s="1"/>
  <c r="R74" i="7"/>
  <c r="O74" i="7"/>
  <c r="Q74" i="7" s="1"/>
  <c r="N74" i="7"/>
  <c r="M74" i="7"/>
  <c r="A74" i="7"/>
  <c r="L74" i="7" s="1"/>
  <c r="Q73" i="7"/>
  <c r="O73" i="7"/>
  <c r="R73" i="7" s="1"/>
  <c r="N73" i="7"/>
  <c r="M73" i="7"/>
  <c r="A73" i="7"/>
  <c r="C73" i="7" s="1"/>
  <c r="R72" i="7"/>
  <c r="Q72" i="7"/>
  <c r="P72" i="7"/>
  <c r="O72" i="7"/>
  <c r="N72" i="7"/>
  <c r="M72" i="7"/>
  <c r="A72" i="7"/>
  <c r="L72" i="7" s="1"/>
  <c r="Q71" i="7"/>
  <c r="P71" i="7"/>
  <c r="O71" i="7"/>
  <c r="R71" i="7" s="1"/>
  <c r="N71" i="7"/>
  <c r="M71" i="7"/>
  <c r="A71" i="7"/>
  <c r="C71" i="7" s="1"/>
  <c r="R70" i="7"/>
  <c r="Q70" i="7"/>
  <c r="P70" i="7"/>
  <c r="O70" i="7"/>
  <c r="N70" i="7"/>
  <c r="M70" i="7"/>
  <c r="L70" i="7"/>
  <c r="A70" i="7"/>
  <c r="O69" i="7"/>
  <c r="N69" i="7"/>
  <c r="M69" i="7"/>
  <c r="A69" i="7"/>
  <c r="C69" i="7" s="1"/>
  <c r="O68" i="7"/>
  <c r="P68" i="7" s="1"/>
  <c r="N68" i="7"/>
  <c r="M68" i="7"/>
  <c r="L68" i="7"/>
  <c r="A68" i="7"/>
  <c r="O67" i="7"/>
  <c r="P67" i="7" s="1"/>
  <c r="N67" i="7"/>
  <c r="M67" i="7"/>
  <c r="A67" i="7"/>
  <c r="O66" i="7"/>
  <c r="R66" i="7" s="1"/>
  <c r="N66" i="7"/>
  <c r="M66" i="7"/>
  <c r="A66" i="7"/>
  <c r="C66" i="7" s="1"/>
  <c r="Q65" i="7"/>
  <c r="O65" i="7"/>
  <c r="N65" i="7"/>
  <c r="M65" i="7"/>
  <c r="A65" i="7"/>
  <c r="L65" i="7" s="1"/>
  <c r="O64" i="7"/>
  <c r="R64" i="7" s="1"/>
  <c r="N64" i="7"/>
  <c r="M64" i="7"/>
  <c r="A64" i="7"/>
  <c r="C64" i="7" s="1"/>
  <c r="Q63" i="7"/>
  <c r="P63" i="7"/>
  <c r="O63" i="7"/>
  <c r="R63" i="7" s="1"/>
  <c r="N63" i="7"/>
  <c r="M63" i="7"/>
  <c r="L63" i="7"/>
  <c r="A63" i="7"/>
  <c r="O62" i="7"/>
  <c r="N62" i="7"/>
  <c r="M62" i="7"/>
  <c r="A62" i="7"/>
  <c r="C62" i="7" s="1"/>
  <c r="O61" i="7"/>
  <c r="R61" i="7" s="1"/>
  <c r="N61" i="7"/>
  <c r="M61" i="7"/>
  <c r="L61" i="7"/>
  <c r="A61" i="7"/>
  <c r="O60" i="7"/>
  <c r="N60" i="7"/>
  <c r="M60" i="7"/>
  <c r="A60" i="7"/>
  <c r="L60" i="7" s="1"/>
  <c r="O59" i="7"/>
  <c r="R59" i="7" s="1"/>
  <c r="N59" i="7"/>
  <c r="M59" i="7"/>
  <c r="A59" i="7"/>
  <c r="C59" i="7" s="1"/>
  <c r="O58" i="7"/>
  <c r="N58" i="7"/>
  <c r="M58" i="7"/>
  <c r="A58" i="7"/>
  <c r="L58" i="7" s="1"/>
  <c r="O57" i="7"/>
  <c r="R57" i="7" s="1"/>
  <c r="N57" i="7"/>
  <c r="M57" i="7"/>
  <c r="A57" i="7"/>
  <c r="R56" i="7"/>
  <c r="Q56" i="7"/>
  <c r="O56" i="7"/>
  <c r="P56" i="7" s="1"/>
  <c r="N56" i="7"/>
  <c r="M56" i="7"/>
  <c r="L56" i="7"/>
  <c r="A56" i="7"/>
  <c r="O55" i="7"/>
  <c r="R55" i="7" s="1"/>
  <c r="N55" i="7"/>
  <c r="M55" i="7"/>
  <c r="L55" i="7"/>
  <c r="A55" i="7"/>
  <c r="R54" i="7"/>
  <c r="Q54" i="7"/>
  <c r="P54" i="7"/>
  <c r="O54" i="7"/>
  <c r="N54" i="7"/>
  <c r="M54" i="7"/>
  <c r="A54" i="7"/>
  <c r="L54" i="7" s="1"/>
  <c r="O53" i="7"/>
  <c r="R53" i="7" s="1"/>
  <c r="N53" i="7"/>
  <c r="M53" i="7"/>
  <c r="L53" i="7"/>
  <c r="A53" i="7"/>
  <c r="C53" i="7" s="1"/>
  <c r="O52" i="7"/>
  <c r="R52" i="7" s="1"/>
  <c r="N52" i="7"/>
  <c r="M52" i="7"/>
  <c r="A52" i="7"/>
  <c r="L52" i="7" s="1"/>
  <c r="Q51" i="7"/>
  <c r="P51" i="7"/>
  <c r="O51" i="7"/>
  <c r="R51" i="7" s="1"/>
  <c r="N51" i="7"/>
  <c r="M51" i="7"/>
  <c r="A51" i="7"/>
  <c r="R50" i="7"/>
  <c r="P50" i="7"/>
  <c r="O50" i="7"/>
  <c r="Q50" i="7" s="1"/>
  <c r="N50" i="7"/>
  <c r="M50" i="7"/>
  <c r="A50" i="7"/>
  <c r="O49" i="7"/>
  <c r="R49" i="7" s="1"/>
  <c r="N49" i="7"/>
  <c r="M49" i="7"/>
  <c r="L49" i="7"/>
  <c r="A49" i="7"/>
  <c r="O48" i="7"/>
  <c r="N48" i="7"/>
  <c r="M48" i="7"/>
  <c r="A48" i="7"/>
  <c r="L48" i="7" s="1"/>
  <c r="Q47" i="7"/>
  <c r="P47" i="7"/>
  <c r="O47" i="7"/>
  <c r="R47" i="7" s="1"/>
  <c r="N47" i="7"/>
  <c r="M47" i="7"/>
  <c r="A47" i="7"/>
  <c r="L47" i="7" s="1"/>
  <c r="R46" i="7"/>
  <c r="Q46" i="7"/>
  <c r="P46" i="7"/>
  <c r="O46" i="7"/>
  <c r="N46" i="7"/>
  <c r="M46" i="7"/>
  <c r="L46" i="7"/>
  <c r="A46" i="7"/>
  <c r="O45" i="7"/>
  <c r="P45" i="7" s="1"/>
  <c r="N45" i="7"/>
  <c r="M45" i="7"/>
  <c r="A45" i="7"/>
  <c r="L45" i="7" s="1"/>
  <c r="R44" i="7"/>
  <c r="Q44" i="7"/>
  <c r="P44" i="7"/>
  <c r="O44" i="7"/>
  <c r="N44" i="7"/>
  <c r="M44" i="7"/>
  <c r="A44" i="7"/>
  <c r="L44" i="7" s="1"/>
  <c r="O43" i="7"/>
  <c r="N43" i="7"/>
  <c r="M43" i="7"/>
  <c r="A43" i="7"/>
  <c r="C43" i="7" s="1"/>
  <c r="O42" i="7"/>
  <c r="R42" i="7" s="1"/>
  <c r="N42" i="7"/>
  <c r="M42" i="7"/>
  <c r="L42" i="7"/>
  <c r="A42" i="7"/>
  <c r="Q41" i="7"/>
  <c r="O41" i="7"/>
  <c r="R41" i="7" s="1"/>
  <c r="N41" i="7"/>
  <c r="M41" i="7"/>
  <c r="A41" i="7"/>
  <c r="C41" i="7" s="1"/>
  <c r="R40" i="7"/>
  <c r="Q40" i="7"/>
  <c r="P40" i="7"/>
  <c r="O40" i="7"/>
  <c r="N40" i="7"/>
  <c r="M40" i="7"/>
  <c r="A40" i="7"/>
  <c r="L40" i="7" s="1"/>
  <c r="Q39" i="7"/>
  <c r="P39" i="7"/>
  <c r="O39" i="7"/>
  <c r="R39" i="7" s="1"/>
  <c r="N39" i="7"/>
  <c r="M39" i="7"/>
  <c r="A39" i="7"/>
  <c r="C39" i="7" s="1"/>
  <c r="O38" i="7"/>
  <c r="R38" i="7" s="1"/>
  <c r="N38" i="7"/>
  <c r="M38" i="7"/>
  <c r="L38" i="7"/>
  <c r="A38" i="7"/>
  <c r="Q37" i="7"/>
  <c r="P37" i="7"/>
  <c r="O37" i="7"/>
  <c r="R37" i="7" s="1"/>
  <c r="N37" i="7"/>
  <c r="M37" i="7"/>
  <c r="A37" i="7"/>
  <c r="O36" i="7"/>
  <c r="R36" i="7" s="1"/>
  <c r="N36" i="7"/>
  <c r="M36" i="7"/>
  <c r="L36" i="7"/>
  <c r="A36" i="7"/>
  <c r="O35" i="7"/>
  <c r="N35" i="7"/>
  <c r="M35" i="7"/>
  <c r="A35" i="7"/>
  <c r="L35" i="7" s="1"/>
  <c r="O34" i="7"/>
  <c r="P34" i="7" s="1"/>
  <c r="N34" i="7"/>
  <c r="M34" i="7"/>
  <c r="A34" i="7"/>
  <c r="L34" i="7" s="1"/>
  <c r="O33" i="7"/>
  <c r="Q33" i="7" s="1"/>
  <c r="N33" i="7"/>
  <c r="M33" i="7"/>
  <c r="A33" i="7"/>
  <c r="L33" i="7" s="1"/>
  <c r="R32" i="7"/>
  <c r="O32" i="7"/>
  <c r="Q32" i="7" s="1"/>
  <c r="N32" i="7"/>
  <c r="M32" i="7"/>
  <c r="A32" i="7"/>
  <c r="C32" i="7" s="1"/>
  <c r="O31" i="7"/>
  <c r="P31" i="7" s="1"/>
  <c r="N31" i="7"/>
  <c r="M31" i="7"/>
  <c r="A31" i="7"/>
  <c r="L31" i="7" s="1"/>
  <c r="R30" i="7"/>
  <c r="Q30" i="7"/>
  <c r="P30" i="7"/>
  <c r="O30" i="7"/>
  <c r="N30" i="7"/>
  <c r="M30" i="7"/>
  <c r="A30" i="7"/>
  <c r="O29" i="7"/>
  <c r="P29" i="7" s="1"/>
  <c r="N29" i="7"/>
  <c r="M29" i="7"/>
  <c r="A29" i="7"/>
  <c r="L29" i="7" s="1"/>
  <c r="O28" i="7"/>
  <c r="R28" i="7" s="1"/>
  <c r="N28" i="7"/>
  <c r="M28" i="7"/>
  <c r="A28" i="7"/>
  <c r="L28" i="7" s="1"/>
  <c r="O27" i="7"/>
  <c r="N27" i="7"/>
  <c r="M27" i="7"/>
  <c r="A27" i="7"/>
  <c r="L27" i="7" s="1"/>
  <c r="O26" i="7"/>
  <c r="R26" i="7" s="1"/>
  <c r="N26" i="7"/>
  <c r="M26" i="7"/>
  <c r="L26" i="7"/>
  <c r="A26" i="7"/>
  <c r="O25" i="7"/>
  <c r="P25" i="7" s="1"/>
  <c r="N25" i="7"/>
  <c r="M25" i="7"/>
  <c r="A25" i="7"/>
  <c r="L25" i="7" s="1"/>
  <c r="O24" i="7"/>
  <c r="Q24" i="7" s="1"/>
  <c r="N24" i="7"/>
  <c r="M24" i="7"/>
  <c r="A24" i="7"/>
  <c r="C24" i="7" s="1"/>
  <c r="R23" i="7"/>
  <c r="Q23" i="7"/>
  <c r="O23" i="7"/>
  <c r="P23" i="7" s="1"/>
  <c r="N23" i="7"/>
  <c r="M23" i="7"/>
  <c r="A23" i="7"/>
  <c r="L23" i="7" s="1"/>
  <c r="O22" i="7"/>
  <c r="P22" i="7" s="1"/>
  <c r="N22" i="7"/>
  <c r="M22" i="7"/>
  <c r="A22" i="7"/>
  <c r="C22" i="7" s="1"/>
  <c r="O21" i="7"/>
  <c r="P21" i="7" s="1"/>
  <c r="N21" i="7"/>
  <c r="M21" i="7"/>
  <c r="A21" i="7"/>
  <c r="L21" i="7" s="1"/>
  <c r="Q20" i="7"/>
  <c r="P20" i="7"/>
  <c r="O20" i="7"/>
  <c r="R20" i="7" s="1"/>
  <c r="N20" i="7"/>
  <c r="M20" i="7"/>
  <c r="A20" i="7"/>
  <c r="L20" i="7" s="1"/>
  <c r="O19" i="7"/>
  <c r="P19" i="7" s="1"/>
  <c r="N19" i="7"/>
  <c r="M19" i="7"/>
  <c r="A19" i="7"/>
  <c r="L19" i="7" s="1"/>
  <c r="O18" i="7"/>
  <c r="N18" i="7"/>
  <c r="M18" i="7"/>
  <c r="L18" i="7"/>
  <c r="A18" i="7"/>
  <c r="O17" i="7"/>
  <c r="P17" i="7" s="1"/>
  <c r="N17" i="7"/>
  <c r="M17" i="7"/>
  <c r="A17" i="7"/>
  <c r="L17" i="7" s="1"/>
  <c r="R16" i="7"/>
  <c r="O16" i="7"/>
  <c r="Q16" i="7" s="1"/>
  <c r="N16" i="7"/>
  <c r="M16" i="7"/>
  <c r="A16" i="7"/>
  <c r="C16" i="7" s="1"/>
  <c r="O15" i="7"/>
  <c r="P15" i="7" s="1"/>
  <c r="N15" i="7"/>
  <c r="M15" i="7"/>
  <c r="A15" i="7"/>
  <c r="L15" i="7" s="1"/>
  <c r="R14" i="7"/>
  <c r="Q14" i="7"/>
  <c r="P14" i="7"/>
  <c r="O14" i="7"/>
  <c r="N14" i="7"/>
  <c r="M14" i="7"/>
  <c r="A14" i="7"/>
  <c r="O13" i="7"/>
  <c r="P13" i="7" s="1"/>
  <c r="N13" i="7"/>
  <c r="M13" i="7"/>
  <c r="A13" i="7"/>
  <c r="L13" i="7" s="1"/>
  <c r="O12" i="7"/>
  <c r="R12" i="7" s="1"/>
  <c r="N12" i="7"/>
  <c r="M12" i="7"/>
  <c r="A12" i="7"/>
  <c r="C12" i="7" s="1"/>
  <c r="O11" i="7"/>
  <c r="N11" i="7"/>
  <c r="M11" i="7"/>
  <c r="A11" i="7"/>
  <c r="L11" i="7" s="1"/>
  <c r="O10" i="7"/>
  <c r="P10" i="7" s="1"/>
  <c r="N10" i="7"/>
  <c r="M10" i="7"/>
  <c r="L10" i="7"/>
  <c r="A10" i="7"/>
  <c r="O9" i="7"/>
  <c r="P9" i="7" s="1"/>
  <c r="N9" i="7"/>
  <c r="M9" i="7"/>
  <c r="A9" i="7"/>
  <c r="L9" i="7" s="1"/>
  <c r="O8" i="7"/>
  <c r="Q8" i="7" s="1"/>
  <c r="N8" i="7"/>
  <c r="M8" i="7"/>
  <c r="A8" i="7"/>
  <c r="C8" i="7" s="1"/>
  <c r="R7" i="7"/>
  <c r="Q7" i="7"/>
  <c r="A7" i="7"/>
  <c r="L7" i="7" s="1"/>
  <c r="R6" i="7"/>
  <c r="Q6" i="7"/>
  <c r="O6" i="7"/>
  <c r="P6" i="7" s="1"/>
  <c r="N6" i="7"/>
  <c r="M6" i="7"/>
  <c r="A6" i="7"/>
  <c r="L6" i="7" s="1"/>
  <c r="O5" i="7"/>
  <c r="R5" i="7" s="1"/>
  <c r="N5" i="7"/>
  <c r="M5" i="7"/>
  <c r="A5" i="7"/>
  <c r="O4" i="7"/>
  <c r="P4" i="7" s="1"/>
  <c r="N4" i="7"/>
  <c r="M4" i="7"/>
  <c r="A4" i="7"/>
  <c r="L4" i="7" s="1"/>
  <c r="O3" i="7"/>
  <c r="R3" i="7" s="1"/>
  <c r="N3" i="7"/>
  <c r="M3" i="7"/>
  <c r="A3" i="7"/>
  <c r="L3" i="7" s="1"/>
  <c r="R2" i="7"/>
  <c r="Q2" i="7"/>
  <c r="O2" i="7"/>
  <c r="P2" i="7" s="1"/>
  <c r="N2" i="7"/>
  <c r="M2" i="7"/>
  <c r="A2" i="7"/>
  <c r="P7" i="7"/>
  <c r="O7" i="7"/>
  <c r="N7" i="7"/>
  <c r="M7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" i="7"/>
  <c r="C4" i="7"/>
  <c r="C6" i="7"/>
  <c r="C7" i="7"/>
  <c r="C10" i="7"/>
  <c r="C11" i="7"/>
  <c r="C13" i="7"/>
  <c r="C15" i="7"/>
  <c r="C17" i="7"/>
  <c r="C18" i="7"/>
  <c r="C19" i="7"/>
  <c r="C23" i="7"/>
  <c r="C26" i="7"/>
  <c r="C27" i="7"/>
  <c r="C28" i="7"/>
  <c r="C29" i="7"/>
  <c r="C31" i="7"/>
  <c r="C33" i="7"/>
  <c r="C34" i="7"/>
  <c r="C35" i="7"/>
  <c r="C36" i="7"/>
  <c r="C38" i="7"/>
  <c r="C42" i="7"/>
  <c r="C45" i="7"/>
  <c r="C46" i="7"/>
  <c r="C47" i="7"/>
  <c r="C48" i="7"/>
  <c r="C49" i="7"/>
  <c r="C52" i="7"/>
  <c r="C54" i="7"/>
  <c r="C55" i="7"/>
  <c r="C56" i="7"/>
  <c r="C58" i="7"/>
  <c r="C61" i="7"/>
  <c r="C63" i="7"/>
  <c r="C65" i="7"/>
  <c r="C68" i="7"/>
  <c r="C70" i="7"/>
  <c r="C72" i="7"/>
  <c r="C74" i="7"/>
  <c r="C75" i="7"/>
  <c r="C76" i="7"/>
  <c r="C77" i="7"/>
  <c r="C78" i="7"/>
  <c r="C79" i="7"/>
  <c r="C80" i="7"/>
  <c r="C83" i="7"/>
  <c r="C87" i="7"/>
  <c r="C90" i="7"/>
  <c r="C91" i="7"/>
  <c r="C93" i="7"/>
  <c r="C95" i="7"/>
  <c r="C96" i="7"/>
  <c r="C97" i="7"/>
  <c r="C98" i="7"/>
  <c r="C102" i="7"/>
  <c r="C103" i="7"/>
  <c r="C104" i="7"/>
  <c r="C108" i="7"/>
  <c r="C110" i="7"/>
  <c r="C111" i="7"/>
  <c r="C112" i="7"/>
  <c r="C113" i="7"/>
  <c r="C115" i="7"/>
  <c r="C116" i="7"/>
  <c r="C118" i="7"/>
  <c r="C119" i="7"/>
  <c r="C122" i="7"/>
  <c r="C127" i="7"/>
  <c r="C129" i="7"/>
  <c r="C131" i="7"/>
  <c r="C132" i="7"/>
  <c r="C134" i="7"/>
  <c r="C135" i="7"/>
  <c r="C136" i="7"/>
  <c r="C138" i="7"/>
  <c r="C139" i="7"/>
  <c r="C142" i="7"/>
  <c r="C144" i="7"/>
  <c r="C146" i="7"/>
  <c r="C147" i="7"/>
  <c r="C151" i="7"/>
  <c r="C154" i="7"/>
  <c r="C156" i="7"/>
  <c r="C157" i="7"/>
  <c r="C159" i="7"/>
  <c r="C161" i="7"/>
  <c r="C162" i="7"/>
  <c r="C163" i="7"/>
  <c r="C164" i="7"/>
  <c r="C166" i="7"/>
  <c r="C168" i="7"/>
  <c r="C170" i="7"/>
  <c r="C172" i="7"/>
  <c r="C174" i="7"/>
  <c r="C175" i="7"/>
  <c r="C176" i="7"/>
  <c r="C180" i="7"/>
  <c r="C182" i="7"/>
  <c r="C183" i="7"/>
  <c r="C184" i="7"/>
  <c r="C186" i="7"/>
  <c r="C187" i="7"/>
  <c r="C188" i="7"/>
  <c r="C191" i="7"/>
  <c r="C192" i="7"/>
  <c r="C193" i="7"/>
  <c r="C198" i="7"/>
  <c r="C199" i="7"/>
  <c r="C200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" i="7"/>
  <c r="R75" i="7" l="1"/>
  <c r="Q75" i="7"/>
  <c r="P75" i="7"/>
  <c r="R83" i="7"/>
  <c r="Q83" i="7"/>
  <c r="R116" i="7"/>
  <c r="Q116" i="7"/>
  <c r="L8" i="7"/>
  <c r="Q15" i="7"/>
  <c r="P38" i="7"/>
  <c r="L43" i="7"/>
  <c r="Q58" i="7"/>
  <c r="P58" i="7"/>
  <c r="L66" i="7"/>
  <c r="L73" i="7"/>
  <c r="P98" i="7"/>
  <c r="R139" i="7"/>
  <c r="Q139" i="7"/>
  <c r="P139" i="7"/>
  <c r="Q10" i="7"/>
  <c r="Q38" i="7"/>
  <c r="L51" i="7"/>
  <c r="C51" i="7"/>
  <c r="R58" i="7"/>
  <c r="Q68" i="7"/>
  <c r="Q98" i="7"/>
  <c r="P111" i="7"/>
  <c r="C117" i="7"/>
  <c r="L117" i="7"/>
  <c r="L152" i="7"/>
  <c r="R157" i="7"/>
  <c r="Q157" i="7"/>
  <c r="L178" i="7"/>
  <c r="C178" i="7"/>
  <c r="R10" i="7"/>
  <c r="Q18" i="7"/>
  <c r="R18" i="7"/>
  <c r="P18" i="7"/>
  <c r="Q28" i="7"/>
  <c r="L41" i="7"/>
  <c r="R68" i="7"/>
  <c r="L94" i="7"/>
  <c r="Q111" i="7"/>
  <c r="L150" i="7"/>
  <c r="P170" i="7"/>
  <c r="C114" i="7"/>
  <c r="Q13" i="7"/>
  <c r="L59" i="7"/>
  <c r="L64" i="7"/>
  <c r="C89" i="7"/>
  <c r="L89" i="7"/>
  <c r="R109" i="7"/>
  <c r="Q109" i="7"/>
  <c r="P109" i="7"/>
  <c r="P132" i="7"/>
  <c r="R134" i="7"/>
  <c r="Q170" i="7"/>
  <c r="P175" i="7"/>
  <c r="P183" i="7"/>
  <c r="P8" i="7"/>
  <c r="L39" i="7"/>
  <c r="Q61" i="7"/>
  <c r="P66" i="7"/>
  <c r="P96" i="7"/>
  <c r="P104" i="7"/>
  <c r="Q132" i="7"/>
  <c r="L145" i="7"/>
  <c r="R163" i="7"/>
  <c r="Q163" i="7"/>
  <c r="P163" i="7"/>
  <c r="R173" i="7"/>
  <c r="Q173" i="7"/>
  <c r="Q175" i="7"/>
  <c r="Q178" i="7"/>
  <c r="P178" i="7"/>
  <c r="Q183" i="7"/>
  <c r="L24" i="7"/>
  <c r="P26" i="7"/>
  <c r="Q31" i="7"/>
  <c r="Q122" i="7"/>
  <c r="P122" i="7"/>
  <c r="L148" i="7"/>
  <c r="R178" i="7"/>
  <c r="R181" i="7"/>
  <c r="Q181" i="7"/>
  <c r="R8" i="7"/>
  <c r="P94" i="7"/>
  <c r="R96" i="7"/>
  <c r="R99" i="7"/>
  <c r="Q99" i="7"/>
  <c r="R122" i="7"/>
  <c r="P140" i="7"/>
  <c r="Q168" i="7"/>
  <c r="L171" i="7"/>
  <c r="P181" i="7"/>
  <c r="L22" i="7"/>
  <c r="P59" i="7"/>
  <c r="P64" i="7"/>
  <c r="R69" i="7"/>
  <c r="Q69" i="7"/>
  <c r="P89" i="7"/>
  <c r="Q94" i="7"/>
  <c r="P99" i="7"/>
  <c r="L143" i="7"/>
  <c r="P158" i="7"/>
  <c r="P194" i="7"/>
  <c r="R197" i="7"/>
  <c r="Q197" i="7"/>
  <c r="C44" i="7"/>
  <c r="R24" i="7"/>
  <c r="P27" i="7"/>
  <c r="R27" i="7"/>
  <c r="R35" i="7"/>
  <c r="Q35" i="7"/>
  <c r="L50" i="7"/>
  <c r="C50" i="7"/>
  <c r="P57" i="7"/>
  <c r="Q87" i="7"/>
  <c r="L106" i="7"/>
  <c r="C106" i="7"/>
  <c r="P123" i="7"/>
  <c r="L126" i="7"/>
  <c r="P128" i="7"/>
  <c r="P138" i="7"/>
  <c r="R138" i="7"/>
  <c r="Q138" i="7"/>
  <c r="Q146" i="7"/>
  <c r="P146" i="7"/>
  <c r="L149" i="7"/>
  <c r="P153" i="7"/>
  <c r="R156" i="7"/>
  <c r="Q156" i="7"/>
  <c r="Q164" i="7"/>
  <c r="L167" i="7"/>
  <c r="Q187" i="7"/>
  <c r="P192" i="7"/>
  <c r="C190" i="7"/>
  <c r="C60" i="7"/>
  <c r="P12" i="7"/>
  <c r="Q17" i="7"/>
  <c r="Q22" i="7"/>
  <c r="Q27" i="7"/>
  <c r="P35" i="7"/>
  <c r="P42" i="7"/>
  <c r="P52" i="7"/>
  <c r="Q57" i="7"/>
  <c r="P85" i="7"/>
  <c r="P108" i="7"/>
  <c r="Q123" i="7"/>
  <c r="Q128" i="7"/>
  <c r="R141" i="7"/>
  <c r="Q141" i="7"/>
  <c r="R146" i="7"/>
  <c r="Q153" i="7"/>
  <c r="P156" i="7"/>
  <c r="R164" i="7"/>
  <c r="Q192" i="7"/>
  <c r="C189" i="7"/>
  <c r="C100" i="7"/>
  <c r="Q12" i="7"/>
  <c r="R17" i="7"/>
  <c r="R22" i="7"/>
  <c r="Q42" i="7"/>
  <c r="Q52" i="7"/>
  <c r="Q85" i="7"/>
  <c r="L88" i="7"/>
  <c r="Q90" i="7"/>
  <c r="P90" i="7"/>
  <c r="R90" i="7"/>
  <c r="Q108" i="7"/>
  <c r="P141" i="7"/>
  <c r="P190" i="7"/>
  <c r="R195" i="7"/>
  <c r="Q195" i="7"/>
  <c r="P195" i="7"/>
  <c r="R198" i="7"/>
  <c r="Q198" i="7"/>
  <c r="P198" i="7"/>
  <c r="R45" i="7"/>
  <c r="Q45" i="7"/>
  <c r="R180" i="7"/>
  <c r="Q180" i="7"/>
  <c r="R33" i="7"/>
  <c r="P33" i="7"/>
  <c r="P83" i="7"/>
  <c r="L109" i="7"/>
  <c r="P116" i="7"/>
  <c r="R121" i="7"/>
  <c r="P121" i="7"/>
  <c r="Q121" i="7"/>
  <c r="C160" i="7"/>
  <c r="L160" i="7"/>
  <c r="P180" i="7"/>
  <c r="R188" i="7"/>
  <c r="Q188" i="7"/>
  <c r="R15" i="7"/>
  <c r="P28" i="7"/>
  <c r="L81" i="7"/>
  <c r="P134" i="7"/>
  <c r="Q154" i="7"/>
  <c r="P154" i="7"/>
  <c r="L173" i="7"/>
  <c r="P188" i="7"/>
  <c r="P5" i="7"/>
  <c r="P36" i="7"/>
  <c r="L71" i="7"/>
  <c r="P91" i="7"/>
  <c r="R101" i="7"/>
  <c r="Q101" i="7"/>
  <c r="L140" i="7"/>
  <c r="P147" i="7"/>
  <c r="P157" i="7"/>
  <c r="L181" i="7"/>
  <c r="Q5" i="7"/>
  <c r="L16" i="7"/>
  <c r="Q36" i="7"/>
  <c r="R43" i="7"/>
  <c r="Q43" i="7"/>
  <c r="P43" i="7"/>
  <c r="P48" i="7"/>
  <c r="Q48" i="7"/>
  <c r="R48" i="7"/>
  <c r="P61" i="7"/>
  <c r="Q91" i="7"/>
  <c r="L107" i="7"/>
  <c r="L130" i="7"/>
  <c r="L137" i="7"/>
  <c r="Q147" i="7"/>
  <c r="R13" i="7"/>
  <c r="Q21" i="7"/>
  <c r="L69" i="7"/>
  <c r="Q76" i="7"/>
  <c r="R76" i="7"/>
  <c r="L125" i="7"/>
  <c r="L197" i="7"/>
  <c r="C92" i="7"/>
  <c r="C14" i="7"/>
  <c r="L14" i="7"/>
  <c r="R21" i="7"/>
  <c r="C37" i="7"/>
  <c r="L37" i="7"/>
  <c r="Q66" i="7"/>
  <c r="P76" i="7"/>
  <c r="P84" i="7"/>
  <c r="Q104" i="7"/>
  <c r="P168" i="7"/>
  <c r="P173" i="7"/>
  <c r="C155" i="7"/>
  <c r="P3" i="7"/>
  <c r="P11" i="7"/>
  <c r="R11" i="7"/>
  <c r="Q26" i="7"/>
  <c r="R31" i="7"/>
  <c r="R34" i="7"/>
  <c r="Q34" i="7"/>
  <c r="L62" i="7"/>
  <c r="Q84" i="7"/>
  <c r="C3" i="7"/>
  <c r="Q3" i="7"/>
  <c r="Q11" i="7"/>
  <c r="Q19" i="7"/>
  <c r="C57" i="7"/>
  <c r="L57" i="7"/>
  <c r="L67" i="7"/>
  <c r="C67" i="7"/>
  <c r="L120" i="7"/>
  <c r="L123" i="7"/>
  <c r="C123" i="7"/>
  <c r="L128" i="7"/>
  <c r="P130" i="7"/>
  <c r="L133" i="7"/>
  <c r="Q140" i="7"/>
  <c r="R145" i="7"/>
  <c r="P145" i="7"/>
  <c r="Q145" i="7"/>
  <c r="P166" i="7"/>
  <c r="L179" i="7"/>
  <c r="R19" i="7"/>
  <c r="Q29" i="7"/>
  <c r="L32" i="7"/>
  <c r="Q59" i="7"/>
  <c r="Q64" i="7"/>
  <c r="P69" i="7"/>
  <c r="P79" i="7"/>
  <c r="L85" i="7"/>
  <c r="Q89" i="7"/>
  <c r="R92" i="7"/>
  <c r="Q92" i="7"/>
  <c r="P102" i="7"/>
  <c r="R102" i="7"/>
  <c r="Q102" i="7"/>
  <c r="P125" i="7"/>
  <c r="Q130" i="7"/>
  <c r="Q158" i="7"/>
  <c r="Q166" i="7"/>
  <c r="Q194" i="7"/>
  <c r="P197" i="7"/>
  <c r="P24" i="7"/>
  <c r="R29" i="7"/>
  <c r="P49" i="7"/>
  <c r="R62" i="7"/>
  <c r="Q62" i="7"/>
  <c r="Q79" i="7"/>
  <c r="P82" i="7"/>
  <c r="P92" i="7"/>
  <c r="P115" i="7"/>
  <c r="Q125" i="7"/>
  <c r="L169" i="7"/>
  <c r="R171" i="7"/>
  <c r="Q171" i="7"/>
  <c r="P171" i="7"/>
  <c r="P200" i="7"/>
  <c r="C82" i="7"/>
  <c r="C20" i="7"/>
  <c r="C30" i="7"/>
  <c r="L30" i="7"/>
  <c r="Q49" i="7"/>
  <c r="P62" i="7"/>
  <c r="R77" i="7"/>
  <c r="Q77" i="7"/>
  <c r="R82" i="7"/>
  <c r="P87" i="7"/>
  <c r="R97" i="7"/>
  <c r="P97" i="7"/>
  <c r="Q115" i="7"/>
  <c r="R133" i="7"/>
  <c r="Q133" i="7"/>
  <c r="P187" i="7"/>
  <c r="L195" i="7"/>
  <c r="C195" i="7"/>
  <c r="Q200" i="7"/>
  <c r="C40" i="7"/>
  <c r="C99" i="7"/>
  <c r="L5" i="7"/>
  <c r="C5" i="7"/>
  <c r="L86" i="7"/>
  <c r="C86" i="7"/>
  <c r="R126" i="7"/>
  <c r="P126" i="7"/>
  <c r="Q126" i="7"/>
  <c r="Q190" i="7"/>
  <c r="L201" i="7"/>
  <c r="C201" i="7"/>
  <c r="Q9" i="7"/>
  <c r="Q25" i="7"/>
  <c r="P55" i="7"/>
  <c r="R60" i="7"/>
  <c r="Q60" i="7"/>
  <c r="R131" i="7"/>
  <c r="Q131" i="7"/>
  <c r="P131" i="7"/>
  <c r="L141" i="7"/>
  <c r="P155" i="7"/>
  <c r="L158" i="7"/>
  <c r="Q162" i="7"/>
  <c r="L177" i="7"/>
  <c r="P179" i="7"/>
  <c r="L194" i="7"/>
  <c r="P196" i="7"/>
  <c r="Q4" i="7"/>
  <c r="R9" i="7"/>
  <c r="L12" i="7"/>
  <c r="P16" i="7"/>
  <c r="R25" i="7"/>
  <c r="P32" i="7"/>
  <c r="P53" i="7"/>
  <c r="Q55" i="7"/>
  <c r="P60" i="7"/>
  <c r="P74" i="7"/>
  <c r="P81" i="7"/>
  <c r="L84" i="7"/>
  <c r="P100" i="7"/>
  <c r="L105" i="7"/>
  <c r="R107" i="7"/>
  <c r="Q107" i="7"/>
  <c r="P107" i="7"/>
  <c r="R124" i="7"/>
  <c r="Q124" i="7"/>
  <c r="R148" i="7"/>
  <c r="Q148" i="7"/>
  <c r="Q155" i="7"/>
  <c r="R162" i="7"/>
  <c r="P172" i="7"/>
  <c r="Q179" i="7"/>
  <c r="Q196" i="7"/>
  <c r="R67" i="7"/>
  <c r="Q67" i="7"/>
  <c r="Q114" i="7"/>
  <c r="P114" i="7"/>
  <c r="L165" i="7"/>
  <c r="Q186" i="7"/>
  <c r="P186" i="7"/>
  <c r="R4" i="7"/>
  <c r="Q53" i="7"/>
  <c r="R65" i="7"/>
  <c r="P65" i="7"/>
  <c r="Q81" i="7"/>
  <c r="R165" i="7"/>
  <c r="Q165" i="7"/>
  <c r="R201" i="7"/>
  <c r="Q201" i="7"/>
  <c r="P201" i="7"/>
  <c r="C21" i="7"/>
  <c r="L121" i="7"/>
  <c r="P129" i="7"/>
  <c r="L153" i="7"/>
  <c r="P161" i="7"/>
  <c r="L185" i="7"/>
  <c r="P193" i="7"/>
  <c r="C25" i="7"/>
  <c r="C9" i="7"/>
  <c r="P41" i="7"/>
  <c r="P73" i="7"/>
  <c r="P105" i="7"/>
  <c r="P137" i="7"/>
  <c r="P169" i="7"/>
  <c r="D5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D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<sst xmlns="http://schemas.openxmlformats.org/spreadsheetml/2006/main" count="1257" uniqueCount="1144">
  <si>
    <t>First Name</t>
  </si>
  <si>
    <t>Last Name</t>
  </si>
  <si>
    <t>(383) 835-9398</t>
  </si>
  <si>
    <t>Micah</t>
  </si>
  <si>
    <t>Harvey</t>
  </si>
  <si>
    <t>(564) 618-7716</t>
  </si>
  <si>
    <t>6013 Aliquam St.</t>
  </si>
  <si>
    <t>Dante</t>
  </si>
  <si>
    <t>Levy</t>
  </si>
  <si>
    <t>(636) 920-1555</t>
  </si>
  <si>
    <t>Britanney</t>
  </si>
  <si>
    <t>Adkins</t>
  </si>
  <si>
    <t>(173) 876-9722</t>
  </si>
  <si>
    <t>Ashely</t>
  </si>
  <si>
    <t>Todd</t>
  </si>
  <si>
    <t>(189) 609-1799</t>
  </si>
  <si>
    <t>Walker</t>
  </si>
  <si>
    <t>Alston</t>
  </si>
  <si>
    <t>(543) 854-5444</t>
  </si>
  <si>
    <t>Georgia</t>
  </si>
  <si>
    <t>Collier</t>
  </si>
  <si>
    <t>(309) 214-5590</t>
  </si>
  <si>
    <t>Sacha</t>
  </si>
  <si>
    <t>Reilly</t>
  </si>
  <si>
    <t>(414) 732-8258</t>
  </si>
  <si>
    <t>Keely</t>
  </si>
  <si>
    <t>Lynch</t>
  </si>
  <si>
    <t>(795) 535-6170</t>
  </si>
  <si>
    <t>Latifah</t>
  </si>
  <si>
    <t>Rocha</t>
  </si>
  <si>
    <t>(608) 243-4301</t>
  </si>
  <si>
    <t>Raymond</t>
  </si>
  <si>
    <t>Aguilar</t>
  </si>
  <si>
    <t>(663) 603-3494</t>
  </si>
  <si>
    <t>Chantale</t>
  </si>
  <si>
    <t>Quinn</t>
  </si>
  <si>
    <t>(759) 799-8054</t>
  </si>
  <si>
    <t>Chloe</t>
  </si>
  <si>
    <t>Cash</t>
  </si>
  <si>
    <t>(799) 433-6502</t>
  </si>
  <si>
    <t>Whilemina</t>
  </si>
  <si>
    <t>Blevins</t>
  </si>
  <si>
    <t>(682) 534-2511</t>
  </si>
  <si>
    <t>Ronan</t>
  </si>
  <si>
    <t>Hayden</t>
  </si>
  <si>
    <t>(781) 673-2800</t>
  </si>
  <si>
    <t>627-8645 Sagittis Rd.</t>
  </si>
  <si>
    <t>Oleg</t>
  </si>
  <si>
    <t>Ballard</t>
  </si>
  <si>
    <t>(697) 243-0509</t>
  </si>
  <si>
    <t>Weber</t>
  </si>
  <si>
    <t>(306) 622-6596</t>
  </si>
  <si>
    <t>Owen</t>
  </si>
  <si>
    <t>Chaney</t>
  </si>
  <si>
    <t>(572) 246-4184</t>
  </si>
  <si>
    <t>Yoko</t>
  </si>
  <si>
    <t>Richmond</t>
  </si>
  <si>
    <t>(504) 843-3770</t>
  </si>
  <si>
    <t>Jolene</t>
  </si>
  <si>
    <t>Sears</t>
  </si>
  <si>
    <t>(858) 466-7817</t>
  </si>
  <si>
    <t>Griffith</t>
  </si>
  <si>
    <t>Lawrence</t>
  </si>
  <si>
    <t>(804) 309-8173</t>
  </si>
  <si>
    <t>Sade</t>
  </si>
  <si>
    <t>Ortega</t>
  </si>
  <si>
    <t>(818) 849-3074</t>
  </si>
  <si>
    <t>Germaine</t>
  </si>
  <si>
    <t>Drake</t>
  </si>
  <si>
    <t>(201) 380-0192</t>
  </si>
  <si>
    <t>Maxwell</t>
  </si>
  <si>
    <t>Mcfarland</t>
  </si>
  <si>
    <t>(727) 370-4214</t>
  </si>
  <si>
    <t>Jin</t>
  </si>
  <si>
    <t>Romero</t>
  </si>
  <si>
    <t>(219) 580-4366</t>
  </si>
  <si>
    <t>Garrett</t>
  </si>
  <si>
    <t>Serrano</t>
  </si>
  <si>
    <t>(721) 346-8780</t>
  </si>
  <si>
    <t>7203 Quis Road</t>
  </si>
  <si>
    <t>Clark</t>
  </si>
  <si>
    <t>Hendricks</t>
  </si>
  <si>
    <t>(758) 586-7504</t>
  </si>
  <si>
    <t>3389 Egestas St.</t>
  </si>
  <si>
    <t>Maite</t>
  </si>
  <si>
    <t>Byrd</t>
  </si>
  <si>
    <t>(676) 920-3059</t>
  </si>
  <si>
    <t>Autumn</t>
  </si>
  <si>
    <t>Burt</t>
  </si>
  <si>
    <t>(114) 772-7285</t>
  </si>
  <si>
    <t>Karleigh</t>
  </si>
  <si>
    <t>Bernard</t>
  </si>
  <si>
    <t>(801) 604-0252</t>
  </si>
  <si>
    <t>Dean</t>
  </si>
  <si>
    <t>Pierce</t>
  </si>
  <si>
    <t>(616) 666-2560</t>
  </si>
  <si>
    <t>Wing</t>
  </si>
  <si>
    <t>Rollins</t>
  </si>
  <si>
    <t>(112) 637-9530</t>
  </si>
  <si>
    <t>Herman</t>
  </si>
  <si>
    <t>Fernandez</t>
  </si>
  <si>
    <t>(652) 512-4736</t>
  </si>
  <si>
    <t>Jonas</t>
  </si>
  <si>
    <t>Cervantes</t>
  </si>
  <si>
    <t>(478) 660-5141</t>
  </si>
  <si>
    <t>Leroy</t>
  </si>
  <si>
    <t>Erickson</t>
  </si>
  <si>
    <t>(235) 197-6304</t>
  </si>
  <si>
    <t>Melinda</t>
  </si>
  <si>
    <t>Houston</t>
  </si>
  <si>
    <t>(444) 207-9492</t>
  </si>
  <si>
    <t>Rhea</t>
  </si>
  <si>
    <t>Benson</t>
  </si>
  <si>
    <t>(472) 304-1275</t>
  </si>
  <si>
    <t>Geraldine</t>
  </si>
  <si>
    <t>Davidson</t>
  </si>
  <si>
    <t>(250) 101-1858</t>
  </si>
  <si>
    <t>Colton</t>
  </si>
  <si>
    <t>Compton</t>
  </si>
  <si>
    <t>(107) 300-7719</t>
  </si>
  <si>
    <t>2718 Nisl St.</t>
  </si>
  <si>
    <t>Ali</t>
  </si>
  <si>
    <t>(561) 710-8249</t>
  </si>
  <si>
    <t>Aaron</t>
  </si>
  <si>
    <t>Garner</t>
  </si>
  <si>
    <t>(885) 876-5622</t>
  </si>
  <si>
    <t>Dacey</t>
  </si>
  <si>
    <t>Pena</t>
  </si>
  <si>
    <t>(919) 844-6935</t>
  </si>
  <si>
    <t>Halla</t>
  </si>
  <si>
    <t>Stein</t>
  </si>
  <si>
    <t>(978) 817-0762</t>
  </si>
  <si>
    <t>Henry</t>
  </si>
  <si>
    <t>Peterson</t>
  </si>
  <si>
    <t>(950) 793-2920</t>
  </si>
  <si>
    <t>Cruz</t>
  </si>
  <si>
    <t>Goff</t>
  </si>
  <si>
    <t>(506) 657-8664</t>
  </si>
  <si>
    <t>993-6177 Magna Road</t>
  </si>
  <si>
    <t>David</t>
  </si>
  <si>
    <t>Miranda</t>
  </si>
  <si>
    <t>(788) 268-8538</t>
  </si>
  <si>
    <t>McKenzie</t>
  </si>
  <si>
    <t>Burgess</t>
  </si>
  <si>
    <t>(792) 830-4872</t>
  </si>
  <si>
    <t>Irma</t>
  </si>
  <si>
    <t>Sargent</t>
  </si>
  <si>
    <t>(503) 683-9506</t>
  </si>
  <si>
    <t>Olga</t>
  </si>
  <si>
    <t>Boyle</t>
  </si>
  <si>
    <t>(846) 514-5886</t>
  </si>
  <si>
    <t>Malik</t>
  </si>
  <si>
    <t>Cabrera</t>
  </si>
  <si>
    <t>(523) 654-6421</t>
  </si>
  <si>
    <t>Jameson</t>
  </si>
  <si>
    <t>Silva</t>
  </si>
  <si>
    <t>(354) 950-3855</t>
  </si>
  <si>
    <t>Tad</t>
  </si>
  <si>
    <t>(586) 879-7133</t>
  </si>
  <si>
    <t>Noelle</t>
  </si>
  <si>
    <t>Dunlap</t>
  </si>
  <si>
    <t>(404) 580-7292</t>
  </si>
  <si>
    <t>Wang</t>
  </si>
  <si>
    <t>Stuart</t>
  </si>
  <si>
    <t>(774) 869-2232</t>
  </si>
  <si>
    <t>Margaret</t>
  </si>
  <si>
    <t>Slater</t>
  </si>
  <si>
    <t>(716) 867-8846</t>
  </si>
  <si>
    <t>Lunea</t>
  </si>
  <si>
    <t>Peters</t>
  </si>
  <si>
    <t>(159) 488-5646</t>
  </si>
  <si>
    <t>Kimberly</t>
  </si>
  <si>
    <t>Roach</t>
  </si>
  <si>
    <t>(620) 778-7882</t>
  </si>
  <si>
    <t>August</t>
  </si>
  <si>
    <t>(863) 353-9891</t>
  </si>
  <si>
    <t>Ori</t>
  </si>
  <si>
    <t>Myers</t>
  </si>
  <si>
    <t>(651) 955-7705</t>
  </si>
  <si>
    <t>Quail</t>
  </si>
  <si>
    <t>Rodgers</t>
  </si>
  <si>
    <t>(695) 270-0516</t>
  </si>
  <si>
    <t>Idona</t>
  </si>
  <si>
    <t>Williams</t>
  </si>
  <si>
    <t>(354) 142-5375</t>
  </si>
  <si>
    <t>Christine</t>
  </si>
  <si>
    <t>Rasmussen</t>
  </si>
  <si>
    <t>(813) 797-4600</t>
  </si>
  <si>
    <t>Brenna</t>
  </si>
  <si>
    <t>(309) 353-0911</t>
  </si>
  <si>
    <t>Brynn</t>
  </si>
  <si>
    <t>Hinton</t>
  </si>
  <si>
    <t>(828) 642-4654</t>
  </si>
  <si>
    <t>Ayanna</t>
  </si>
  <si>
    <t>Williamson</t>
  </si>
  <si>
    <t>(867) 677-7450</t>
  </si>
  <si>
    <t>Brent</t>
  </si>
  <si>
    <t>Black</t>
  </si>
  <si>
    <t>(167) 468-9065</t>
  </si>
  <si>
    <t>Athena</t>
  </si>
  <si>
    <t>Buckley</t>
  </si>
  <si>
    <t>(788) 470-9516</t>
  </si>
  <si>
    <t>Mary</t>
  </si>
  <si>
    <t>Wilkerson</t>
  </si>
  <si>
    <t>(160) 186-8736</t>
  </si>
  <si>
    <t>Noble</t>
  </si>
  <si>
    <t>Eaton</t>
  </si>
  <si>
    <t>(786) 879-3690</t>
  </si>
  <si>
    <t>Lucius</t>
  </si>
  <si>
    <t>Mcneil</t>
  </si>
  <si>
    <t>(975) 387-7055</t>
  </si>
  <si>
    <t>Deborah</t>
  </si>
  <si>
    <t>Berry</t>
  </si>
  <si>
    <t>(927) 540-3200</t>
  </si>
  <si>
    <t>5604 Luctus Street</t>
  </si>
  <si>
    <t>Aladdin</t>
  </si>
  <si>
    <t>Bell</t>
  </si>
  <si>
    <t>(458) 527-5885</t>
  </si>
  <si>
    <t>5357 Nonummy Rd.</t>
  </si>
  <si>
    <t>Ethan</t>
  </si>
  <si>
    <t>Robinson</t>
  </si>
  <si>
    <t>(113) 262-4588</t>
  </si>
  <si>
    <t>Cecilia</t>
  </si>
  <si>
    <t>Cox</t>
  </si>
  <si>
    <t>(665) 401-4325</t>
  </si>
  <si>
    <t>Price</t>
  </si>
  <si>
    <t>Morales</t>
  </si>
  <si>
    <t>(739) 167-4430</t>
  </si>
  <si>
    <t>Hamish</t>
  </si>
  <si>
    <t>Prince</t>
  </si>
  <si>
    <t>(882) 721-8981</t>
  </si>
  <si>
    <t>Cyrus</t>
  </si>
  <si>
    <t>Barlow</t>
  </si>
  <si>
    <t>(997) 615-6114</t>
  </si>
  <si>
    <t>Caleb</t>
  </si>
  <si>
    <t>Hughes</t>
  </si>
  <si>
    <t>(727) 245-7747</t>
  </si>
  <si>
    <t>Alana</t>
  </si>
  <si>
    <t>(323) 743-0418</t>
  </si>
  <si>
    <t>Tanya</t>
  </si>
  <si>
    <t>Sandoval</t>
  </si>
  <si>
    <t>(646) 743-0653</t>
  </si>
  <si>
    <t>Echo</t>
  </si>
  <si>
    <t>Ingram</t>
  </si>
  <si>
    <t>(799) 653-4880</t>
  </si>
  <si>
    <t>Tara</t>
  </si>
  <si>
    <t>Franklin</t>
  </si>
  <si>
    <t>(693) 113-4331</t>
  </si>
  <si>
    <t>Nichole</t>
  </si>
  <si>
    <t>Kirkland</t>
  </si>
  <si>
    <t>(990) 412-0289</t>
  </si>
  <si>
    <t>Harriet</t>
  </si>
  <si>
    <t>Malone</t>
  </si>
  <si>
    <t>(538) 639-6085</t>
  </si>
  <si>
    <t>Carter</t>
  </si>
  <si>
    <t>Carrillo</t>
  </si>
  <si>
    <t>(700) 673-1185</t>
  </si>
  <si>
    <t>Scarlett</t>
  </si>
  <si>
    <t>Patterson</t>
  </si>
  <si>
    <t>(143) 214-4892</t>
  </si>
  <si>
    <t>6596 Tempor St.</t>
  </si>
  <si>
    <t>Yvonne</t>
  </si>
  <si>
    <t>Rogers</t>
  </si>
  <si>
    <t>(771) 440-2812</t>
  </si>
  <si>
    <t>Cora</t>
  </si>
  <si>
    <t>Shaffer</t>
  </si>
  <si>
    <t>(285) 433-0608</t>
  </si>
  <si>
    <t>Zane</t>
  </si>
  <si>
    <t>Vance</t>
  </si>
  <si>
    <t>(211) 320-1920</t>
  </si>
  <si>
    <t>Thaddeus</t>
  </si>
  <si>
    <t>Long</t>
  </si>
  <si>
    <t>(168) 512-4445</t>
  </si>
  <si>
    <t>Raphael</t>
  </si>
  <si>
    <t>Stevens</t>
  </si>
  <si>
    <t>(221) 704-6746</t>
  </si>
  <si>
    <t>Amy</t>
  </si>
  <si>
    <t>(461) 307-4296</t>
  </si>
  <si>
    <t>Vargas</t>
  </si>
  <si>
    <t>(650) 726-6513</t>
  </si>
  <si>
    <t>Hedda</t>
  </si>
  <si>
    <t>Hood</t>
  </si>
  <si>
    <t>(602) 553-9695</t>
  </si>
  <si>
    <t>Fletcher</t>
  </si>
  <si>
    <t>Justice</t>
  </si>
  <si>
    <t>(689) 180-2638</t>
  </si>
  <si>
    <t>(295) 104-2501</t>
  </si>
  <si>
    <t>5366 Parturient St.</t>
  </si>
  <si>
    <t>Matthew</t>
  </si>
  <si>
    <t>Turner</t>
  </si>
  <si>
    <t>(686) 673-3445</t>
  </si>
  <si>
    <t>Hopper</t>
  </si>
  <si>
    <t>(159) 395-8617</t>
  </si>
  <si>
    <t>Bertha</t>
  </si>
  <si>
    <t>Pate</t>
  </si>
  <si>
    <t>(278) 224-1356</t>
  </si>
  <si>
    <t>Alexandra</t>
  </si>
  <si>
    <t>Faulkner</t>
  </si>
  <si>
    <t>(645) 959-6914</t>
  </si>
  <si>
    <t>Serina</t>
  </si>
  <si>
    <t>Bonner</t>
  </si>
  <si>
    <t>(124) 702-0984</t>
  </si>
  <si>
    <t>Vladimir</t>
  </si>
  <si>
    <t>(369) 305-0371</t>
  </si>
  <si>
    <t>Tate</t>
  </si>
  <si>
    <t>Mcmahon</t>
  </si>
  <si>
    <t>(653) 241-9022</t>
  </si>
  <si>
    <t>Armando</t>
  </si>
  <si>
    <t>Horne</t>
  </si>
  <si>
    <t>(149) 380-3269</t>
  </si>
  <si>
    <t>Shay</t>
  </si>
  <si>
    <t>(111) 778-3187</t>
  </si>
  <si>
    <t>Renee</t>
  </si>
  <si>
    <t>Keith</t>
  </si>
  <si>
    <t>(583) 888-8580</t>
  </si>
  <si>
    <t>5689 Interdum Rd.</t>
  </si>
  <si>
    <t>Uriah</t>
  </si>
  <si>
    <t>Harmon</t>
  </si>
  <si>
    <t>(119) 555-4589</t>
  </si>
  <si>
    <t>2190 Ac St.</t>
  </si>
  <si>
    <t>Miriam</t>
  </si>
  <si>
    <t>Roy</t>
  </si>
  <si>
    <t>(243) 523-0550</t>
  </si>
  <si>
    <t>Paul</t>
  </si>
  <si>
    <t>Sharp</t>
  </si>
  <si>
    <t>(141) 916-4689</t>
  </si>
  <si>
    <t>Virginia</t>
  </si>
  <si>
    <t>(941) 952-7822</t>
  </si>
  <si>
    <t>Imani</t>
  </si>
  <si>
    <t>Jefferson</t>
  </si>
  <si>
    <t>(444) 884-4239</t>
  </si>
  <si>
    <t>674-1385 Pellentesque Road</t>
  </si>
  <si>
    <t>Stewart</t>
  </si>
  <si>
    <t>(920) 106-5190</t>
  </si>
  <si>
    <t>Berk</t>
  </si>
  <si>
    <t>Hatfield</t>
  </si>
  <si>
    <t>(880) 300-1960</t>
  </si>
  <si>
    <t>Glenna</t>
  </si>
  <si>
    <t>Flores</t>
  </si>
  <si>
    <t>(353) 501-0299</t>
  </si>
  <si>
    <t>Uriel</t>
  </si>
  <si>
    <t>(171) 672-0656</t>
  </si>
  <si>
    <t>Barrett</t>
  </si>
  <si>
    <t>(142) 206-6963</t>
  </si>
  <si>
    <t>Wiley</t>
  </si>
  <si>
    <t>(620) 961-4419</t>
  </si>
  <si>
    <t>3560 Nibh Road</t>
  </si>
  <si>
    <t>Travis</t>
  </si>
  <si>
    <t>Alexander</t>
  </si>
  <si>
    <t>(621) 600-2119</t>
  </si>
  <si>
    <t>391 Iaculis St.</t>
  </si>
  <si>
    <t>Eliana</t>
  </si>
  <si>
    <t>Landry</t>
  </si>
  <si>
    <t>(671) 601-8444</t>
  </si>
  <si>
    <t>Veronica</t>
  </si>
  <si>
    <t>(438) 850-6764</t>
  </si>
  <si>
    <t>Kaden</t>
  </si>
  <si>
    <t>(846) 176-0004</t>
  </si>
  <si>
    <t>Mcgee</t>
  </si>
  <si>
    <t>(843) 414-8627</t>
  </si>
  <si>
    <t>Shelby</t>
  </si>
  <si>
    <t>Stanton</t>
  </si>
  <si>
    <t>(700) 308-1469</t>
  </si>
  <si>
    <t>Nicholas</t>
  </si>
  <si>
    <t>Neal</t>
  </si>
  <si>
    <t>(254) 882-3194</t>
  </si>
  <si>
    <t>Martena</t>
  </si>
  <si>
    <t>Hebert</t>
  </si>
  <si>
    <t>(966) 942-6041</t>
  </si>
  <si>
    <t>Nerea</t>
  </si>
  <si>
    <t>Case</t>
  </si>
  <si>
    <t>(698) 655-5552</t>
  </si>
  <si>
    <t>Tyrone</t>
  </si>
  <si>
    <t>Duran</t>
  </si>
  <si>
    <t>(470) 777-0130</t>
  </si>
  <si>
    <t>Avye</t>
  </si>
  <si>
    <t>Rush</t>
  </si>
  <si>
    <t>(488) 601-6954</t>
  </si>
  <si>
    <t>Head</t>
  </si>
  <si>
    <t>(393) 748-6024</t>
  </si>
  <si>
    <t>Natalie</t>
  </si>
  <si>
    <t>Yates</t>
  </si>
  <si>
    <t>(527) 827-6705</t>
  </si>
  <si>
    <t>Claire</t>
  </si>
  <si>
    <t>(986) 487-5227</t>
  </si>
  <si>
    <t>Odette</t>
  </si>
  <si>
    <t>Ray</t>
  </si>
  <si>
    <t>(839) 730-1571</t>
  </si>
  <si>
    <t>Kyla</t>
  </si>
  <si>
    <t>Henson</t>
  </si>
  <si>
    <t>(259) 434-6139</t>
  </si>
  <si>
    <t>Tatyana</t>
  </si>
  <si>
    <t>(137) 882-6042</t>
  </si>
  <si>
    <t>Solomon</t>
  </si>
  <si>
    <t>Haynes</t>
  </si>
  <si>
    <t>(797) 117-8572</t>
  </si>
  <si>
    <t>Warren</t>
  </si>
  <si>
    <t>Lowe</t>
  </si>
  <si>
    <t>(856) 653-6805</t>
  </si>
  <si>
    <t>Astra</t>
  </si>
  <si>
    <t>Duke</t>
  </si>
  <si>
    <t>(496) 677-2947</t>
  </si>
  <si>
    <t>Yeo</t>
  </si>
  <si>
    <t>Espinoza</t>
  </si>
  <si>
    <t>(204) 777-6816</t>
  </si>
  <si>
    <t>Lydia</t>
  </si>
  <si>
    <t>Pearson</t>
  </si>
  <si>
    <t>(187) 796-6187</t>
  </si>
  <si>
    <t>Jasmine</t>
  </si>
  <si>
    <t>Tillman</t>
  </si>
  <si>
    <t>(648) 618-4592</t>
  </si>
  <si>
    <t>Ruby</t>
  </si>
  <si>
    <t>Adams</t>
  </si>
  <si>
    <t>(764) 487-2046</t>
  </si>
  <si>
    <t>7657 Tortor St.</t>
  </si>
  <si>
    <t>Igor</t>
  </si>
  <si>
    <t>Nixon</t>
  </si>
  <si>
    <t>(624) 618-0448</t>
  </si>
  <si>
    <t>Allen</t>
  </si>
  <si>
    <t>Carr</t>
  </si>
  <si>
    <t>(643) 416-2825</t>
  </si>
  <si>
    <t>Charity</t>
  </si>
  <si>
    <t>Mccarthy</t>
  </si>
  <si>
    <t>(243) 362-5791</t>
  </si>
  <si>
    <t>Colby</t>
  </si>
  <si>
    <t>Frederick</t>
  </si>
  <si>
    <t>(132) 867-7992</t>
  </si>
  <si>
    <t>5093 Eu Street</t>
  </si>
  <si>
    <t>Medge</t>
  </si>
  <si>
    <t>Joyner</t>
  </si>
  <si>
    <t>(924) 269-3864</t>
  </si>
  <si>
    <t>Munoz</t>
  </si>
  <si>
    <t>(799) 678-0073</t>
  </si>
  <si>
    <t>Beatrice</t>
  </si>
  <si>
    <t>Richard</t>
  </si>
  <si>
    <t>(264) 553-7006</t>
  </si>
  <si>
    <t>Len</t>
  </si>
  <si>
    <t>Bowman</t>
  </si>
  <si>
    <t>(945) 146-8274</t>
  </si>
  <si>
    <t>Alma</t>
  </si>
  <si>
    <t>Oliver</t>
  </si>
  <si>
    <t>(665) 616-9953</t>
  </si>
  <si>
    <t>Byron</t>
  </si>
  <si>
    <t>Sykes</t>
  </si>
  <si>
    <t>(218) 835-9396</t>
  </si>
  <si>
    <t>Candace</t>
  </si>
  <si>
    <t>Payne</t>
  </si>
  <si>
    <t>(756) 738-6197</t>
  </si>
  <si>
    <t>Knox</t>
  </si>
  <si>
    <t>Garrison</t>
  </si>
  <si>
    <t>(698) 251-6391</t>
  </si>
  <si>
    <t>Shana</t>
  </si>
  <si>
    <t>Briggs</t>
  </si>
  <si>
    <t>(786) 391-0089</t>
  </si>
  <si>
    <t>Bo</t>
  </si>
  <si>
    <t>(971) 733-0608</t>
  </si>
  <si>
    <t>Sylvia</t>
  </si>
  <si>
    <t>Fuller</t>
  </si>
  <si>
    <t>(981) 788-0790</t>
  </si>
  <si>
    <t>Lani</t>
  </si>
  <si>
    <t>Lloyd</t>
  </si>
  <si>
    <t>(436) 710-6194</t>
  </si>
  <si>
    <t>Brenda</t>
  </si>
  <si>
    <t>Rosales</t>
  </si>
  <si>
    <t>(311) 900-3446</t>
  </si>
  <si>
    <t>Xenos</t>
  </si>
  <si>
    <t>Campos</t>
  </si>
  <si>
    <t>(676) 547-9042</t>
  </si>
  <si>
    <t>Marsden</t>
  </si>
  <si>
    <t>Byers</t>
  </si>
  <si>
    <t>(180) 419-0558</t>
  </si>
  <si>
    <t>Hu</t>
  </si>
  <si>
    <t>Dalton</t>
  </si>
  <si>
    <t>(848) 811-7025</t>
  </si>
  <si>
    <t>Kylan</t>
  </si>
  <si>
    <t>Joseph</t>
  </si>
  <si>
    <t>(287) 781-4598</t>
  </si>
  <si>
    <t>Noelani</t>
  </si>
  <si>
    <t>Bailey</t>
  </si>
  <si>
    <t>(974) 432-8936</t>
  </si>
  <si>
    <t>Octavius</t>
  </si>
  <si>
    <t>Hines</t>
  </si>
  <si>
    <t>(670) 806-0968</t>
  </si>
  <si>
    <t>Zena</t>
  </si>
  <si>
    <t>Keller</t>
  </si>
  <si>
    <t>(220) 674-5712</t>
  </si>
  <si>
    <t>Brianna</t>
  </si>
  <si>
    <t>(224) 934-4957</t>
  </si>
  <si>
    <t>Karyn</t>
  </si>
  <si>
    <t>Bender</t>
  </si>
  <si>
    <t>(673) 383-5858</t>
  </si>
  <si>
    <t>Francesca</t>
  </si>
  <si>
    <t>Molina</t>
  </si>
  <si>
    <t>(593) 636-2830</t>
  </si>
  <si>
    <t>6060 Vestibulum Rd.</t>
  </si>
  <si>
    <t>Quinlan</t>
  </si>
  <si>
    <t>Brooks</t>
  </si>
  <si>
    <t>(431) 136-1797</t>
  </si>
  <si>
    <t>(138) 243-3277</t>
  </si>
  <si>
    <t>Ursula</t>
  </si>
  <si>
    <t>Moon</t>
  </si>
  <si>
    <t>(633) 442-9233</t>
  </si>
  <si>
    <t>4361 Odio Rd.</t>
  </si>
  <si>
    <t>Aquila</t>
  </si>
  <si>
    <t>Castro</t>
  </si>
  <si>
    <t>(833) 575-4161</t>
  </si>
  <si>
    <t>Damon</t>
  </si>
  <si>
    <t>Palmer</t>
  </si>
  <si>
    <t>(168) 717-2566</t>
  </si>
  <si>
    <t>563-5184 Hendrerit St.</t>
  </si>
  <si>
    <t>Charde</t>
  </si>
  <si>
    <t>Mills</t>
  </si>
  <si>
    <t>(532) 464-9456</t>
  </si>
  <si>
    <t>1165 Facilisis Street</t>
  </si>
  <si>
    <t>Hilel</t>
  </si>
  <si>
    <t>(320) 933-0485</t>
  </si>
  <si>
    <t>5261 Habitant St.</t>
  </si>
  <si>
    <t>Uma</t>
  </si>
  <si>
    <t>Walsh</t>
  </si>
  <si>
    <t>(408) 122-8801</t>
  </si>
  <si>
    <t>Vanna</t>
  </si>
  <si>
    <t>Gilliam</t>
  </si>
  <si>
    <t>(242) 404-8588</t>
  </si>
  <si>
    <t>Madeline</t>
  </si>
  <si>
    <t>Trujillo</t>
  </si>
  <si>
    <t>(145) 620-1526</t>
  </si>
  <si>
    <t>Blaze</t>
  </si>
  <si>
    <t>(467) 546-0764</t>
  </si>
  <si>
    <t>Lacy</t>
  </si>
  <si>
    <t>Bright</t>
  </si>
  <si>
    <t>(138) 532-6263</t>
  </si>
  <si>
    <t>Fields</t>
  </si>
  <si>
    <t>(156) 258-9739</t>
  </si>
  <si>
    <t>Phyllis</t>
  </si>
  <si>
    <t>(565) 141-3529</t>
  </si>
  <si>
    <t>160-3783 Sem, Road</t>
  </si>
  <si>
    <t>Jason</t>
  </si>
  <si>
    <t>Gilmore</t>
  </si>
  <si>
    <t>(964) 438-6633</t>
  </si>
  <si>
    <t>3886 Mauris Road</t>
  </si>
  <si>
    <t>Gabriel</t>
  </si>
  <si>
    <t>Melendez</t>
  </si>
  <si>
    <t>(431) 778-5615</t>
  </si>
  <si>
    <t>6738 Condimentum Rd.</t>
  </si>
  <si>
    <t>Lance</t>
  </si>
  <si>
    <t>Fry</t>
  </si>
  <si>
    <t>(999) 565-5729</t>
  </si>
  <si>
    <t>Jared</t>
  </si>
  <si>
    <t>Fleming</t>
  </si>
  <si>
    <t>(437) 122-2821</t>
  </si>
  <si>
    <t>Magee</t>
  </si>
  <si>
    <t>Davis</t>
  </si>
  <si>
    <t>(284) 963-7060</t>
  </si>
  <si>
    <t>Gillian</t>
  </si>
  <si>
    <t>Booker</t>
  </si>
  <si>
    <t>(306) 895-2060</t>
  </si>
  <si>
    <t>Gibson</t>
  </si>
  <si>
    <t>(711) 620-0520</t>
  </si>
  <si>
    <t>Hanae</t>
  </si>
  <si>
    <t>(876) 592-2083</t>
  </si>
  <si>
    <t>Nicholson</t>
  </si>
  <si>
    <t>(744) 345-6744</t>
  </si>
  <si>
    <t>Ira</t>
  </si>
  <si>
    <t>Lopez</t>
  </si>
  <si>
    <t>(332) 609-6071</t>
  </si>
  <si>
    <t>Brown</t>
  </si>
  <si>
    <t>(861) 462-2256</t>
  </si>
  <si>
    <t>Claudia</t>
  </si>
  <si>
    <t>Young</t>
  </si>
  <si>
    <t>(980) 624-8934</t>
  </si>
  <si>
    <t>Willa</t>
  </si>
  <si>
    <t>Meyers</t>
  </si>
  <si>
    <t>(159) 385-5743</t>
  </si>
  <si>
    <t>Fulton</t>
  </si>
  <si>
    <t>(709) 612-0026</t>
  </si>
  <si>
    <t>Gould</t>
  </si>
  <si>
    <t>(572) 206-2343</t>
  </si>
  <si>
    <t>Nolan</t>
  </si>
  <si>
    <t>Pugh</t>
  </si>
  <si>
    <t>(315) 325-5102</t>
  </si>
  <si>
    <t>Lilah</t>
  </si>
  <si>
    <t>Shields</t>
  </si>
  <si>
    <t>(826) 447-5607</t>
  </si>
  <si>
    <t>Brittany</t>
  </si>
  <si>
    <t>Powell</t>
  </si>
  <si>
    <t>(533) 330-6985</t>
  </si>
  <si>
    <t>6086 Consequat Rd.</t>
  </si>
  <si>
    <t>Phone</t>
  </si>
  <si>
    <t>Street Address</t>
  </si>
  <si>
    <t>Zipcode</t>
  </si>
  <si>
    <t>Req Date</t>
  </si>
  <si>
    <t>00501</t>
  </si>
  <si>
    <t>00623</t>
  </si>
  <si>
    <t>01080</t>
  </si>
  <si>
    <t>01081</t>
  </si>
  <si>
    <t>01930</t>
  </si>
  <si>
    <t>02108</t>
  </si>
  <si>
    <t>02920</t>
  </si>
  <si>
    <t>02921</t>
  </si>
  <si>
    <t>02940</t>
  </si>
  <si>
    <t>03041</t>
  </si>
  <si>
    <t>03042</t>
  </si>
  <si>
    <t>04063</t>
  </si>
  <si>
    <t>04064</t>
  </si>
  <si>
    <t>04040</t>
  </si>
  <si>
    <t>04468</t>
  </si>
  <si>
    <t>05050</t>
  </si>
  <si>
    <t>05653</t>
  </si>
  <si>
    <t>05654</t>
  </si>
  <si>
    <t>05745</t>
  </si>
  <si>
    <t>05746</t>
  </si>
  <si>
    <t>06417</t>
  </si>
  <si>
    <t>06418</t>
  </si>
  <si>
    <t>06419</t>
  </si>
  <si>
    <t>07111</t>
  </si>
  <si>
    <t>07843</t>
  </si>
  <si>
    <t>10911</t>
  </si>
  <si>
    <t>13309</t>
  </si>
  <si>
    <t>17231</t>
  </si>
  <si>
    <t>17232</t>
  </si>
  <si>
    <t>17233</t>
  </si>
  <si>
    <t>17235</t>
  </si>
  <si>
    <t>19510</t>
  </si>
  <si>
    <t>19733</t>
  </si>
  <si>
    <t>19734</t>
  </si>
  <si>
    <t>20006</t>
  </si>
  <si>
    <t>20885</t>
  </si>
  <si>
    <t>20886</t>
  </si>
  <si>
    <t>20889</t>
  </si>
  <si>
    <t>20891</t>
  </si>
  <si>
    <t>20892</t>
  </si>
  <si>
    <t>22210</t>
  </si>
  <si>
    <t>22211</t>
  </si>
  <si>
    <t>22212</t>
  </si>
  <si>
    <t>24351</t>
  </si>
  <si>
    <t>24352</t>
  </si>
  <si>
    <t>24354</t>
  </si>
  <si>
    <t>25410</t>
  </si>
  <si>
    <t>25411</t>
  </si>
  <si>
    <t>25419</t>
  </si>
  <si>
    <t>27198</t>
  </si>
  <si>
    <t>27199</t>
  </si>
  <si>
    <t>27201</t>
  </si>
  <si>
    <t>27202</t>
  </si>
  <si>
    <t>27203</t>
  </si>
  <si>
    <t>27022</t>
  </si>
  <si>
    <t>29493</t>
  </si>
  <si>
    <t>29501</t>
  </si>
  <si>
    <t>29481</t>
  </si>
  <si>
    <t>29482</t>
  </si>
  <si>
    <t>29483</t>
  </si>
  <si>
    <t>30113</t>
  </si>
  <si>
    <t>30049</t>
  </si>
  <si>
    <t>30052</t>
  </si>
  <si>
    <t>30054</t>
  </si>
  <si>
    <t>30055</t>
  </si>
  <si>
    <t>30056</t>
  </si>
  <si>
    <t>30058</t>
  </si>
  <si>
    <t>30060</t>
  </si>
  <si>
    <t>32112</t>
  </si>
  <si>
    <t>32113</t>
  </si>
  <si>
    <t>32114</t>
  </si>
  <si>
    <t>35407</t>
  </si>
  <si>
    <t>35440</t>
  </si>
  <si>
    <t>38901</t>
  </si>
  <si>
    <t>41840</t>
  </si>
  <si>
    <t>41843</t>
  </si>
  <si>
    <t>41844</t>
  </si>
  <si>
    <t>48005</t>
  </si>
  <si>
    <t>48006</t>
  </si>
  <si>
    <t>48007</t>
  </si>
  <si>
    <t>48009</t>
  </si>
  <si>
    <t>47993</t>
  </si>
  <si>
    <t>47994</t>
  </si>
  <si>
    <t>47995</t>
  </si>
  <si>
    <t>47996</t>
  </si>
  <si>
    <t>47997</t>
  </si>
  <si>
    <t>48001</t>
  </si>
  <si>
    <t>53818</t>
  </si>
  <si>
    <t>53820</t>
  </si>
  <si>
    <t>53821</t>
  </si>
  <si>
    <t>55063</t>
  </si>
  <si>
    <t>55065</t>
  </si>
  <si>
    <t>55066</t>
  </si>
  <si>
    <t>55067</t>
  </si>
  <si>
    <t>57340</t>
  </si>
  <si>
    <t>57341</t>
  </si>
  <si>
    <t>58241</t>
  </si>
  <si>
    <t>58243</t>
  </si>
  <si>
    <t>58244</t>
  </si>
  <si>
    <t>60016</t>
  </si>
  <si>
    <t>60020</t>
  </si>
  <si>
    <t>59014</t>
  </si>
  <si>
    <t>59016</t>
  </si>
  <si>
    <t>59020</t>
  </si>
  <si>
    <t>59022</t>
  </si>
  <si>
    <t>60014</t>
  </si>
  <si>
    <t>60015</t>
  </si>
  <si>
    <t>60151</t>
  </si>
  <si>
    <t>60602</t>
  </si>
  <si>
    <t>63112</t>
  </si>
  <si>
    <t>64458</t>
  </si>
  <si>
    <t>64459</t>
  </si>
  <si>
    <t>64456</t>
  </si>
  <si>
    <t>64457</t>
  </si>
  <si>
    <t>65050</t>
  </si>
  <si>
    <t>66756</t>
  </si>
  <si>
    <t>66757</t>
  </si>
  <si>
    <t>66758</t>
  </si>
  <si>
    <t>66759</t>
  </si>
  <si>
    <t>68526</t>
  </si>
  <si>
    <t>68527</t>
  </si>
  <si>
    <t>70513</t>
  </si>
  <si>
    <t>70517</t>
  </si>
  <si>
    <t>69348</t>
  </si>
  <si>
    <t>70837</t>
  </si>
  <si>
    <t>71497</t>
  </si>
  <si>
    <t>71601</t>
  </si>
  <si>
    <t>71602</t>
  </si>
  <si>
    <t>73628</t>
  </si>
  <si>
    <t>73632</t>
  </si>
  <si>
    <t>73638</t>
  </si>
  <si>
    <t>73655</t>
  </si>
  <si>
    <t>75483</t>
  </si>
  <si>
    <t>75485</t>
  </si>
  <si>
    <t>75486</t>
  </si>
  <si>
    <t>75487</t>
  </si>
  <si>
    <t>75488</t>
  </si>
  <si>
    <t>75501</t>
  </si>
  <si>
    <t>75963</t>
  </si>
  <si>
    <t>76101</t>
  </si>
  <si>
    <t>79256</t>
  </si>
  <si>
    <t>81656</t>
  </si>
  <si>
    <t>81657</t>
  </si>
  <si>
    <t>82002</t>
  </si>
  <si>
    <t>82003</t>
  </si>
  <si>
    <t>82005</t>
  </si>
  <si>
    <t>83287</t>
  </si>
  <si>
    <t>83301</t>
  </si>
  <si>
    <t>84081</t>
  </si>
  <si>
    <t>84082</t>
  </si>
  <si>
    <t>85262</t>
  </si>
  <si>
    <t>85263</t>
  </si>
  <si>
    <t>85264</t>
  </si>
  <si>
    <t>85387</t>
  </si>
  <si>
    <t>87722</t>
  </si>
  <si>
    <t>87724</t>
  </si>
  <si>
    <t>87728</t>
  </si>
  <si>
    <t>87730</t>
  </si>
  <si>
    <t>87731</t>
  </si>
  <si>
    <t>88595</t>
  </si>
  <si>
    <t>88901</t>
  </si>
  <si>
    <t>89004</t>
  </si>
  <si>
    <t>89005</t>
  </si>
  <si>
    <t>87511</t>
  </si>
  <si>
    <t>90624</t>
  </si>
  <si>
    <t>90630</t>
  </si>
  <si>
    <t>90631</t>
  </si>
  <si>
    <t>91001</t>
  </si>
  <si>
    <t>91077</t>
  </si>
  <si>
    <t>91101</t>
  </si>
  <si>
    <t>92199</t>
  </si>
  <si>
    <t>92201</t>
  </si>
  <si>
    <t>93004</t>
  </si>
  <si>
    <t>95117</t>
  </si>
  <si>
    <t>95248</t>
  </si>
  <si>
    <t>95249</t>
  </si>
  <si>
    <t>95251</t>
  </si>
  <si>
    <t>96721</t>
  </si>
  <si>
    <t>96722</t>
  </si>
  <si>
    <t>96837</t>
  </si>
  <si>
    <t>97086</t>
  </si>
  <si>
    <t>97089</t>
  </si>
  <si>
    <t>96786</t>
  </si>
  <si>
    <t>96788</t>
  </si>
  <si>
    <t>97002</t>
  </si>
  <si>
    <t>97004</t>
  </si>
  <si>
    <t>97242</t>
  </si>
  <si>
    <t>97601</t>
  </si>
  <si>
    <t>98293</t>
  </si>
  <si>
    <t>98051</t>
  </si>
  <si>
    <t>98052</t>
  </si>
  <si>
    <t>98068</t>
  </si>
  <si>
    <t>99026</t>
  </si>
  <si>
    <t>99256</t>
  </si>
  <si>
    <t>99790</t>
  </si>
  <si>
    <t>99791</t>
  </si>
  <si>
    <t>99801</t>
  </si>
  <si>
    <t>6527 Cumberland St.</t>
  </si>
  <si>
    <t>5527 Lorem St.</t>
  </si>
  <si>
    <t>1988 Pellentesque St.</t>
  </si>
  <si>
    <t>1541 Michigan Rd.</t>
  </si>
  <si>
    <t>4366 Amet St.</t>
  </si>
  <si>
    <t>9358 Euclid St.</t>
  </si>
  <si>
    <t>260-3711 Enim Ave.</t>
  </si>
  <si>
    <t>9261 Main Street</t>
  </si>
  <si>
    <t>9027 Urban Rd.</t>
  </si>
  <si>
    <t>6606 Integer St.</t>
  </si>
  <si>
    <t>498 Brown Street</t>
  </si>
  <si>
    <t>2319 Second St.</t>
  </si>
  <si>
    <t>6423 Tellus St.</t>
  </si>
  <si>
    <t>2156 Suspendisse Rd.</t>
  </si>
  <si>
    <t>1465 Mollis St.</t>
  </si>
  <si>
    <t>3660 Wilson Street</t>
  </si>
  <si>
    <t>4389 Wonderland Rd.</t>
  </si>
  <si>
    <t>9216 Euismod Street</t>
  </si>
  <si>
    <t>6632 Noon St.</t>
  </si>
  <si>
    <t>5831 Million Rd.</t>
  </si>
  <si>
    <t>762 Milk Street</t>
  </si>
  <si>
    <t>5118 Vehicula Street</t>
  </si>
  <si>
    <t>1753 Enamel Street</t>
  </si>
  <si>
    <t>7383 Interdum St.</t>
  </si>
  <si>
    <t>8999 Zue Road</t>
  </si>
  <si>
    <t>8767 Vitae Street</t>
  </si>
  <si>
    <t>5766 Egestas St.</t>
  </si>
  <si>
    <t>6016 Consectetuer St.</t>
  </si>
  <si>
    <t>353 Risus Street</t>
  </si>
  <si>
    <t>4650 Alternate Way</t>
  </si>
  <si>
    <t>2759 Present St.</t>
  </si>
  <si>
    <t>1366 Accumsan St.</t>
  </si>
  <si>
    <t>3475 Netus Rd.</t>
  </si>
  <si>
    <t>8386 Queen Road</t>
  </si>
  <si>
    <t>5902 Euismod Road</t>
  </si>
  <si>
    <t>668 Second St.</t>
  </si>
  <si>
    <t>3535 Accent Street</t>
  </si>
  <si>
    <t>7032 South Canal Road</t>
  </si>
  <si>
    <t>6697 Egret Street</t>
  </si>
  <si>
    <t>1597 Sapien St.</t>
  </si>
  <si>
    <t>9007 Porch Rd.</t>
  </si>
  <si>
    <t>8892 Telegraph Rd.</t>
  </si>
  <si>
    <t>6659 Feugiat Road</t>
  </si>
  <si>
    <t>7036 Library Rd.</t>
  </si>
  <si>
    <t>5474 Calle 44</t>
  </si>
  <si>
    <t>8059 Dogleg Road</t>
  </si>
  <si>
    <t>255 Primis Rd.</t>
  </si>
  <si>
    <t>3940 Donec Street</t>
  </si>
  <si>
    <t>6685 Third Ave.</t>
  </si>
  <si>
    <t>7197 Arbor Vitae St.</t>
  </si>
  <si>
    <t>7676 Wendy Ave.</t>
  </si>
  <si>
    <t>5153 Turnip St.</t>
  </si>
  <si>
    <t>9687 Faucibus Rd.</t>
  </si>
  <si>
    <t>3511 E Street</t>
  </si>
  <si>
    <t>5601 Suspension St.</t>
  </si>
  <si>
    <t>3062 English Rd.</t>
  </si>
  <si>
    <t>3835 Tempus Street</t>
  </si>
  <si>
    <t>1204 Fames St.</t>
  </si>
  <si>
    <t>3399 Cursors Street</t>
  </si>
  <si>
    <t>7097 Queso Rd.</t>
  </si>
  <si>
    <t>166 Synagogue Drive</t>
  </si>
  <si>
    <t>4290 Mauris Street</t>
  </si>
  <si>
    <t>6836 Gravida Street</t>
  </si>
  <si>
    <t>912 Church Rd.</t>
  </si>
  <si>
    <t>3601 Imperdiet Street</t>
  </si>
  <si>
    <t>7232 Leo St.</t>
  </si>
  <si>
    <t>1355 Alive Street</t>
  </si>
  <si>
    <t>3285 Name St.</t>
  </si>
  <si>
    <t>3205 Sodales St.</t>
  </si>
  <si>
    <t>2201 Hashtag Sq.</t>
  </si>
  <si>
    <t>2836 Malesuada St.</t>
  </si>
  <si>
    <t>7552 Dictum Ave.</t>
  </si>
  <si>
    <t>3651 Semper Ave.</t>
  </si>
  <si>
    <t>6091 North Ave.</t>
  </si>
  <si>
    <t>2416 Placeman Ave.</t>
  </si>
  <si>
    <t>4370 Tincidunt Ave.</t>
  </si>
  <si>
    <t>8239 Bandit Ave.</t>
  </si>
  <si>
    <t>4017 Seed Ave.</t>
  </si>
  <si>
    <t>4486 Eunice Ave.</t>
  </si>
  <si>
    <t>267 Johnson Ave.</t>
  </si>
  <si>
    <t>5658 Aliquet Ave.</t>
  </si>
  <si>
    <t>1695 Sociis Ave.</t>
  </si>
  <si>
    <t>2451 Amet Ave.</t>
  </si>
  <si>
    <t>1258 Solitude Ave.</t>
  </si>
  <si>
    <t>2762 Buss Ave.</t>
  </si>
  <si>
    <t>2437 Gravida Ave.</t>
  </si>
  <si>
    <t>8070 Proin Ave.</t>
  </si>
  <si>
    <t>6586 Facile Ave.</t>
  </si>
  <si>
    <t>1662 Pure Ave.</t>
  </si>
  <si>
    <t>6464 Donec Ave.</t>
  </si>
  <si>
    <t>2943 Quis Ave.</t>
  </si>
  <si>
    <t>3812 Ute Ave.</t>
  </si>
  <si>
    <t>1222 Magnis Ave.</t>
  </si>
  <si>
    <t>5759 Palladium Ave.</t>
  </si>
  <si>
    <t>9651 Selma Ave.</t>
  </si>
  <si>
    <t>3935 School Ave.</t>
  </si>
  <si>
    <t>P.O. Box 113, 9244 Erat Ave.</t>
  </si>
  <si>
    <t>1572 Quis Rd.</t>
  </si>
  <si>
    <t>41839 Franti Drive</t>
  </si>
  <si>
    <t>9024 Nulla Ave.</t>
  </si>
  <si>
    <t>8642 Ipsum St.</t>
  </si>
  <si>
    <t>2566 Commodore Ave.</t>
  </si>
  <si>
    <t>3717 Quisque Ave.</t>
  </si>
  <si>
    <t>2198 East Ave.</t>
  </si>
  <si>
    <t>8080 Gravida Ave.</t>
  </si>
  <si>
    <t>833 Ohio Ave.</t>
  </si>
  <si>
    <t>984 Tincidunt Ave.</t>
  </si>
  <si>
    <t>4848 Lacus Ave.</t>
  </si>
  <si>
    <t>853 Nunca Ave.</t>
  </si>
  <si>
    <t>3969 Juniper Ave.</t>
  </si>
  <si>
    <t>6865 Accumsan Ave.</t>
  </si>
  <si>
    <t>3920 Curabitur Ave.</t>
  </si>
  <si>
    <t>3800 Nullam Ave.</t>
  </si>
  <si>
    <t>8098 Nisi Ave.</t>
  </si>
  <si>
    <t>4011 Lectus Ave.</t>
  </si>
  <si>
    <t>5375 Auctor Ave.</t>
  </si>
  <si>
    <t>667 Penatibus Road</t>
  </si>
  <si>
    <t>5574 Neque Rd.</t>
  </si>
  <si>
    <t>779 Vulture Ave.</t>
  </si>
  <si>
    <t>4522 Rust Ave.</t>
  </si>
  <si>
    <t>3417 Reservior Rd.</t>
  </si>
  <si>
    <t>19 Peach Street</t>
  </si>
  <si>
    <t>934 Morris Rd.</t>
  </si>
  <si>
    <t>211 A Ave.</t>
  </si>
  <si>
    <t>2389 Arcu Rd.</t>
  </si>
  <si>
    <t>3045 Sapient Rd.</t>
  </si>
  <si>
    <t>6970 Esta Ave.</t>
  </si>
  <si>
    <t>517 Vineland Road</t>
  </si>
  <si>
    <t>7175 Western Ave.</t>
  </si>
  <si>
    <t>2989 Amet Ave.</t>
  </si>
  <si>
    <t>6964 Velvet Road</t>
  </si>
  <si>
    <t>5222 Tellus Street</t>
  </si>
  <si>
    <t>1511 News St.</t>
  </si>
  <si>
    <t>600 Brunswick Ave.</t>
  </si>
  <si>
    <t>340-B Fourteenth Street</t>
  </si>
  <si>
    <t>9898 Jane Addams Avenue</t>
  </si>
  <si>
    <t>8398 Wilson Road</t>
  </si>
  <si>
    <t>6921 Pahl Road</t>
  </si>
  <si>
    <t>2005 Hope St.</t>
  </si>
  <si>
    <t>6130 Frost Drive</t>
  </si>
  <si>
    <t>1756 Quisque Street</t>
  </si>
  <si>
    <t>2988 Cherokee Ave.</t>
  </si>
  <si>
    <t>9519 Eustice Ave.</t>
  </si>
  <si>
    <t>3095 Sodales Rd.</t>
  </si>
  <si>
    <t>3629 Main Street</t>
  </si>
  <si>
    <t xml:space="preserve">5468 Theodore Parker Blvd. </t>
  </si>
  <si>
    <t xml:space="preserve">4295 Martin Luther King Blvd. </t>
  </si>
  <si>
    <t xml:space="preserve">3412 S. Washington Ave. </t>
  </si>
  <si>
    <t>4624 Lincoln Drive</t>
  </si>
  <si>
    <t xml:space="preserve">7776 Caesar St. </t>
  </si>
  <si>
    <t>4802 Sarah Street</t>
  </si>
  <si>
    <t>6063 Janus Way</t>
  </si>
  <si>
    <t xml:space="preserve">9445 Janice Marie Ct. </t>
  </si>
  <si>
    <t>8696 Boulevard Drive</t>
  </si>
  <si>
    <t>7700 Blizzard St.</t>
  </si>
  <si>
    <t>255 Miles Drive</t>
  </si>
  <si>
    <t>8240 30th Street</t>
  </si>
  <si>
    <t>6337 Dis Street</t>
  </si>
  <si>
    <t>4956 Meltdown Road</t>
  </si>
  <si>
    <t>7777 Egress Street</t>
  </si>
  <si>
    <t>4472 W. Ante Road</t>
  </si>
  <si>
    <t xml:space="preserve">1473 Trifle Dr. </t>
  </si>
  <si>
    <t>6929 Salinas Road</t>
  </si>
  <si>
    <t>9829 Auction Street</t>
  </si>
  <si>
    <t>6467 Inn Road</t>
  </si>
  <si>
    <t>9937 Ultricies Street</t>
  </si>
  <si>
    <t>1406 Id Rd.</t>
  </si>
  <si>
    <t>1302 Arcu Rd.</t>
  </si>
  <si>
    <t>7185 Nadie Ave.</t>
  </si>
  <si>
    <t>3100 Mesa Verde Rd.</t>
  </si>
  <si>
    <t>6280 Auctor St.</t>
  </si>
  <si>
    <t>4903 Ornare Road</t>
  </si>
  <si>
    <t>7383 Zipper Rd.</t>
  </si>
  <si>
    <t>Naomi</t>
  </si>
  <si>
    <t>Rev</t>
  </si>
  <si>
    <t>41839 Noparking Street</t>
  </si>
  <si>
    <t>03249</t>
  </si>
  <si>
    <t>RIGHT</t>
  </si>
  <si>
    <t>LEFT</t>
  </si>
  <si>
    <t>MID</t>
  </si>
  <si>
    <t>TEXTJOIN</t>
  </si>
  <si>
    <t>FIND</t>
  </si>
  <si>
    <t>SUBSTITUTE</t>
  </si>
  <si>
    <t>House Number</t>
  </si>
  <si>
    <t>Month</t>
  </si>
  <si>
    <t>Day</t>
  </si>
  <si>
    <t>Date</t>
  </si>
  <si>
    <t>Naomi Rev</t>
  </si>
  <si>
    <t>Full Name</t>
  </si>
  <si>
    <t>Area Code</t>
  </si>
  <si>
    <t>Phone Number</t>
  </si>
  <si>
    <t>Clean Phone</t>
  </si>
  <si>
    <t>Street Name</t>
  </si>
  <si>
    <t>Zipcode - Street Name</t>
  </si>
  <si>
    <t>Unique ID</t>
  </si>
  <si>
    <t>Standardized Address</t>
  </si>
  <si>
    <t>Year</t>
  </si>
  <si>
    <t>Check</t>
  </si>
  <si>
    <t>Expected</t>
  </si>
  <si>
    <t>Actual / Issues</t>
  </si>
  <si>
    <t>Status</t>
  </si>
  <si>
    <t>Record Count</t>
  </si>
  <si>
    <t>Missing Source Values</t>
  </si>
  <si>
    <t>Q1 — Full Name</t>
  </si>
  <si>
    <t>Q2 — Area Code</t>
  </si>
  <si>
    <t>Q3 — Phone Number</t>
  </si>
  <si>
    <t>Q4 — Clean Phone</t>
  </si>
  <si>
    <t>Q5 — Street Name</t>
  </si>
  <si>
    <t>Q6 — Zipcode - Street Name</t>
  </si>
  <si>
    <t>Q7 — Unique ID Formula</t>
  </si>
  <si>
    <t>Q7 — Duplicate Unique IDs</t>
  </si>
  <si>
    <t>Q8 — Standardized Address</t>
  </si>
  <si>
    <t>Q9 — House Number</t>
  </si>
  <si>
    <t>Q10/Q11 — Year</t>
  </si>
  <si>
    <t>Q10 — Month</t>
  </si>
  <si>
    <t>Q10 — Day</t>
  </si>
  <si>
    <t>Formula Errors</t>
  </si>
  <si>
    <t>Data Cleaning Validation</t>
  </si>
  <si>
    <t>Alternative_Methods</t>
  </si>
  <si>
    <t>383835-9398</t>
  </si>
  <si>
    <t>Franti Drive</t>
  </si>
  <si>
    <t>03249 - Franti Drive</t>
  </si>
  <si>
    <t>NaoRev383</t>
  </si>
  <si>
    <t>6013 Aliquam Street</t>
  </si>
  <si>
    <t>Alternative Formula Methods</t>
  </si>
  <si>
    <t>Selected alternative formulas for text cleaning tasks</t>
  </si>
  <si>
    <t>Task</t>
  </si>
  <si>
    <t>Source Value</t>
  </si>
  <si>
    <t>Primary Result</t>
  </si>
  <si>
    <t>Alternative Result</t>
  </si>
  <si>
    <t>Project Name</t>
  </si>
  <si>
    <t>Excel Data Cleaning</t>
  </si>
  <si>
    <t>Project Type</t>
  </si>
  <si>
    <t>Excel Data Cleaning Project</t>
  </si>
  <si>
    <t>Dataset</t>
  </si>
  <si>
    <t>Cleaning Dataset</t>
  </si>
  <si>
    <t>Tool</t>
  </si>
  <si>
    <t>Microsoft Excel</t>
  </si>
  <si>
    <t>Total Records</t>
  </si>
  <si>
    <t>Main Focus</t>
  </si>
  <si>
    <t>Text cleaning and data extraction</t>
  </si>
  <si>
    <t>Completed</t>
  </si>
  <si>
    <t>Excel Exercise 02</t>
  </si>
  <si>
    <t>Project Objective</t>
  </si>
  <si>
    <t>The goal of this project was to clean and transform text-based data in Excel. The exercise included working with names, phone numbers, addresses, zip codes, and dates using Excel formulas.</t>
  </si>
  <si>
    <t>Source Columns</t>
  </si>
  <si>
    <t>Field</t>
  </si>
  <si>
    <t>Type</t>
  </si>
  <si>
    <t>Description</t>
  </si>
  <si>
    <t>Text</t>
  </si>
  <si>
    <t>First name</t>
  </si>
  <si>
    <t>Last name</t>
  </si>
  <si>
    <t>Phone number with area code</t>
  </si>
  <si>
    <t>House number and street name</t>
  </si>
  <si>
    <t>Postal code</t>
  </si>
  <si>
    <t>Request date</t>
  </si>
  <si>
    <t>Created Columns</t>
  </si>
  <si>
    <t>Purpose</t>
  </si>
  <si>
    <t>Question</t>
  </si>
  <si>
    <t>Combines first and last name</t>
  </si>
  <si>
    <t>Q1</t>
  </si>
  <si>
    <t>Extracts the area code</t>
  </si>
  <si>
    <t>Q2</t>
  </si>
  <si>
    <t>Extracts the seven-digit phone number</t>
  </si>
  <si>
    <t>Q3</t>
  </si>
  <si>
    <t>Removes parentheses and spaces</t>
  </si>
  <si>
    <t>Q4</t>
  </si>
  <si>
    <t>Removes the house number</t>
  </si>
  <si>
    <t>Q5</t>
  </si>
  <si>
    <t>Combines zipcode and street name</t>
  </si>
  <si>
    <t>Q6</t>
  </si>
  <si>
    <t>Creates the required ID</t>
  </si>
  <si>
    <t>Q7</t>
  </si>
  <si>
    <t>Replaces St. with Street</t>
  </si>
  <si>
    <t>Q8</t>
  </si>
  <si>
    <t>Extracts the house number</t>
  </si>
  <si>
    <t>Q9</t>
  </si>
  <si>
    <t>Extracts year from the date</t>
  </si>
  <si>
    <t>Q10 / Q11</t>
  </si>
  <si>
    <t>Extracts month from the date</t>
  </si>
  <si>
    <t>Q10</t>
  </si>
  <si>
    <t>Extracts day from the date</t>
  </si>
  <si>
    <t>Cleaning Rules</t>
  </si>
  <si>
    <t>Rule</t>
  </si>
  <si>
    <t>Example</t>
  </si>
  <si>
    <t>First Name + space + Last Name</t>
  </si>
  <si>
    <t>Three digits inside parentheses</t>
  </si>
  <si>
    <t>Last seven digits without hyphen</t>
  </si>
  <si>
    <t>Remove parentheses and spaces</t>
  </si>
  <si>
    <t>Remove the first house-number part</t>
  </si>
  <si>
    <t>Zip + Street</t>
  </si>
  <si>
    <t>Zipcode + " - " + Street Name</t>
  </si>
  <si>
    <t>First 3 letters + Last 3 letters + Area Code</t>
  </si>
  <si>
    <t>Replace St. with Street</t>
  </si>
  <si>
    <t>Text before first space</t>
  </si>
  <si>
    <t>Date Parts</t>
  </si>
  <si>
    <t>Extract year, month and day</t>
  </si>
  <si>
    <t>Extract year from Req Date</t>
  </si>
  <si>
    <t>Methods Used</t>
  </si>
  <si>
    <t>Function / Feature</t>
  </si>
  <si>
    <t>Used For</t>
  </si>
  <si>
    <t>TRIM</t>
  </si>
  <si>
    <t>Remove extra spaces</t>
  </si>
  <si>
    <t>Extract text from the left</t>
  </si>
  <si>
    <t>House Number / ID</t>
  </si>
  <si>
    <t>Extract text from the right</t>
  </si>
  <si>
    <t>Extract text from the middle</t>
  </si>
  <si>
    <t>Area Code / Street Name</t>
  </si>
  <si>
    <t>Locate characters or spaces</t>
  </si>
  <si>
    <t>Phone / Address</t>
  </si>
  <si>
    <t>Replace or remove text</t>
  </si>
  <si>
    <t>Alternative text combination</t>
  </si>
  <si>
    <t>TEXTAFTER</t>
  </si>
  <si>
    <t>Alternative text extraction</t>
  </si>
  <si>
    <t>Phone / Street</t>
  </si>
  <si>
    <t>TEXTBEFORE</t>
  </si>
  <si>
    <t>Area Code / House Number</t>
  </si>
  <si>
    <t>YEAR / MONTH / DAY</t>
  </si>
  <si>
    <t>Extract date parts</t>
  </si>
  <si>
    <t>Validation</t>
  </si>
  <si>
    <t>Result</t>
  </si>
  <si>
    <t>Compare raw and cleaned records</t>
  </si>
  <si>
    <t>PASS</t>
  </si>
  <si>
    <t>Check required source fields</t>
  </si>
  <si>
    <t>Cleaning Outputs</t>
  </si>
  <si>
    <t>Compare cleaned values with expected logic</t>
  </si>
  <si>
    <t>Unique IDs</t>
  </si>
  <si>
    <t>Check for duplicate IDs</t>
  </si>
  <si>
    <t>Check year, month and day</t>
  </si>
  <si>
    <t>Check for Excel errors</t>
  </si>
  <si>
    <t>Workbook Structure</t>
  </si>
  <si>
    <t>Sheet</t>
  </si>
  <si>
    <t>Content</t>
  </si>
  <si>
    <t>Raw_Data</t>
  </si>
  <si>
    <t>Original data</t>
  </si>
  <si>
    <t>Source fields only</t>
  </si>
  <si>
    <t>Cleaned_Data</t>
  </si>
  <si>
    <t>Main solution</t>
  </si>
  <si>
    <t>Cleaned and extracted fields</t>
  </si>
  <si>
    <t>Alternative formulas</t>
  </si>
  <si>
    <t>Selected alternative approaches</t>
  </si>
  <si>
    <t>Quality checks</t>
  </si>
  <si>
    <t>PASS / CHECK validation</t>
  </si>
  <si>
    <t>Documentation</t>
  </si>
  <si>
    <t>Project notes</t>
  </si>
  <si>
    <t>Rules, methods and structure</t>
  </si>
  <si>
    <t>Notes</t>
  </si>
  <si>
    <t>Item</t>
  </si>
  <si>
    <t>Note</t>
  </si>
  <si>
    <t>Treated as text to preserve leading zeros</t>
  </si>
  <si>
    <t>Treated as text because it contains formatting characters</t>
  </si>
  <si>
    <t>Treated as text because some values may not be purely numeric</t>
  </si>
  <si>
    <t>The same Year column is used for Questions 10 and 11</t>
  </si>
  <si>
    <t>Original Data</t>
  </si>
  <si>
    <t>Source columns were kept unchanged</t>
  </si>
  <si>
    <t>"2014/01/01"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</si>
</sst>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yyyy/mm/dd"/>
  </numFmts>
  <fonts count="11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  <font>
      <sz val="12"/>
      <color theme="2"/>
      <name val="Arial"/>
      <family val="2"/>
      <scheme val="minor"/>
    </font>
    <font>
      <sz val="12"/>
      <color theme="1"/>
      <name val="Times New Roman"/>
      <family val="1"/>
      <scheme val="major"/>
    </font>
    <font>
      <sz val="12"/>
      <color theme="2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6" fillId="3" borderId="0" xfId="0" applyFont="1" applyFill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5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28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numFmt numFmtId="165" formatCode="yyyy/mm/d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numFmt numFmtId="164" formatCode="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major"/>
      </font>
      <alignment horizontal="center" vertical="center" textRotation="0" wrapText="0" indent="0" justifyLastLine="0" shrinkToFit="0" readingOrder="0"/>
    </dxf>
  </dxfs>
  <tableStyles count="1" defaultTableStyle="TableStyleMedium9" defaultPivotStyle="PivotStyleMedium4">
    <tableStyle name="Invisible" pivot="0" table="0" count="0" xr9:uid="{26FCE9D7-FC48-48AA-BB28-C7A8A1EAEB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D9C952-DC40-4E40-B752-9297BF4FED11}" name="raw_data" displayName="raw_data" ref="A1:F201" totalsRowShown="0" headerRowDxfId="27" dataDxfId="26">
  <autoFilter ref="A1:F201" xr:uid="{CDD9C952-DC40-4E40-B752-9297BF4FED11}"/>
  <tableColumns count="6">
    <tableColumn id="1" xr3:uid="{860DC8D2-51D7-4C2D-ABA1-EDBB25673781}" name="First Name" dataDxfId="25"/>
    <tableColumn id="2" xr3:uid="{E5F09FB9-3EDF-42BD-8D4C-7106DCB04B56}" name="Last Name" dataDxfId="24"/>
    <tableColumn id="3" xr3:uid="{B12628E7-787F-4E62-837A-05B7BAB20925}" name="Phone" dataDxfId="23"/>
    <tableColumn id="4" xr3:uid="{831954D0-7A5D-4343-B102-F20DE55434C0}" name="Street Address" dataDxfId="22"/>
    <tableColumn id="5" xr3:uid="{06B68B85-43F7-48BF-AB58-BB9688D09F1E}" name="Zipcode" dataDxfId="21"/>
    <tableColumn id="6" xr3:uid="{A37BB16E-F83D-4F32-A73B-D1F220C7370B}" name="Req 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484C95-F81C-4CEF-82D0-93BCAE3B17D3}" name="cleaned_data" displayName="cleaned_data" ref="A1:R201" totalsRowShown="0" headerRowDxfId="19" dataDxfId="18">
  <autoFilter ref="A1:R201" xr:uid="{6F484C95-F81C-4CEF-82D0-93BCAE3B17D3}"/>
  <tableColumns count="18">
    <tableColumn id="1" xr3:uid="{207B5523-E798-436D-AB1B-8A5C169E216A}" name="First Name" dataDxfId="17"/>
    <tableColumn id="2" xr3:uid="{5A005D0E-844C-411A-AA2E-F9BDAE9F7BBF}" name="Last Name" dataDxfId="16">
      <calculatedColumnFormula>raw_data[[#This Row],[Last Name]]</calculatedColumnFormula>
    </tableColumn>
    <tableColumn id="3" xr3:uid="{318DA624-48CA-43BD-932D-8FFF29670984}" name="Full Name" dataDxfId="15">
      <calculatedColumnFormula>TRIM(cleaned_data[[#This Row],[First Name]]&amp; " "&amp;cleaned_data[[#This Row],[Last Name]])</calculatedColumnFormula>
    </tableColumn>
    <tableColumn id="4" xr3:uid="{E07D9ECF-2795-4DE1-8F14-6D4051BC0938}" name="Phone" dataDxfId="14">
      <calculatedColumnFormula>raw_data[[#This Row],[Phone]]</calculatedColumnFormula>
    </tableColumn>
    <tableColumn id="5" xr3:uid="{7CD628B7-416A-4C44-B66D-8A213D59AB12}" name="Area Code" dataDxfId="13">
      <calculatedColumnFormula>MID(cleaned_data[[#This Row],[Phone]],FIND("(",cleaned_data[[#This Row],[Phone]])+1,3)</calculatedColumnFormula>
    </tableColumn>
    <tableColumn id="6" xr3:uid="{042438D5-1A37-4066-95A3-FBB8FEB5ECE1}" name="Phone Number" dataDxfId="12">
      <calculatedColumnFormula>RIGHT(SUBSTITUTE(cleaned_data[[#This Row],[Phone]],"-",""),7)</calculatedColumnFormula>
    </tableColumn>
    <tableColumn id="7" xr3:uid="{0819CBB1-7490-4940-9777-0C1CBDBFA75A}" name="Clean Phone" dataDxfId="11">
      <calculatedColumnFormula>SUBSTITUTE(SUBSTITUTE(SUBSTITUTE(cleaned_data[[#This Row],[Phone]],"(",""),")","")," ","")</calculatedColumnFormula>
    </tableColumn>
    <tableColumn id="8" xr3:uid="{B5C50404-5100-4A67-8442-0C900BED57AF}" name="Street Address" dataDxfId="10">
      <calculatedColumnFormula>raw_data[[#This Row],[Street Address]]</calculatedColumnFormula>
    </tableColumn>
    <tableColumn id="9" xr3:uid="{2C924B2C-DE80-49B4-976C-D5B81E12BE9D}" name="Street Name" dataDxfId="9">
      <calculatedColumnFormula>TRIM(MID(cleaned_data[[#This Row],[Street Address]],FIND(" ",cleaned_data[[#This Row],[Street Address]])+1,LEN(cleaned_data[[#This Row],[Street Address]])))</calculatedColumnFormula>
    </tableColumn>
    <tableColumn id="10" xr3:uid="{18163C0C-B0F1-495C-8C8D-867FB469C9B5}" name="Zipcode" dataDxfId="8">
      <calculatedColumnFormula>raw_data[[#This Row],[Zipcode]]</calculatedColumnFormula>
    </tableColumn>
    <tableColumn id="11" xr3:uid="{2FCEDE21-6A74-4E6D-A799-694177C069F2}" name="Zipcode - Street Name" dataDxfId="7">
      <calculatedColumnFormula>cleaned_data[[#This Row],[Zipcode]]&amp;" - "&amp;cleaned_data[[#This Row],[Street Name]]</calculatedColumnFormula>
    </tableColumn>
    <tableColumn id="12" xr3:uid="{4FC7BAA4-DF93-4524-A977-219B30935626}" name="Unique ID" dataDxfId="6"/>
    <tableColumn id="13" xr3:uid="{591CA2EC-9513-4CDC-8C62-AF04E29EECD0}" name="Standardized Address" dataDxfId="5"/>
    <tableColumn id="14" xr3:uid="{A0196442-3150-4AE3-A7BC-811534F5251F}" name="House Number" dataDxfId="4"/>
    <tableColumn id="15" xr3:uid="{F6E32B8E-93DE-4B64-B7E2-7A3276842DED}" name="Req Date" dataDxfId="3"/>
    <tableColumn id="16" xr3:uid="{8906424E-C94E-40F7-AF58-3865EB58C0E8}" name="Year" dataDxfId="2"/>
    <tableColumn id="17" xr3:uid="{D8D73BF5-0ECA-4257-98D4-9DFD9AE47141}" name="Month" dataDxfId="1"/>
    <tableColumn id="18" xr3:uid="{F874D55D-BDD4-4B0F-83B5-7A4688DC15E0}" name="Da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Purple">
  <a:themeElements>
    <a:clrScheme name="MY Purp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C3AED"/>
      </a:accent1>
      <a:accent2>
        <a:srgbClr val="A78BFA"/>
      </a:accent2>
      <a:accent3>
        <a:srgbClr val="DDD6FE"/>
      </a:accent3>
      <a:accent4>
        <a:srgbClr val="4C1D95"/>
      </a:accent4>
      <a:accent5>
        <a:srgbClr val="F8F3EA"/>
      </a:accent5>
      <a:accent6>
        <a:srgbClr val="334155"/>
      </a:accent6>
      <a:hlink>
        <a:srgbClr val="7C3AED"/>
      </a:hlink>
      <a:folHlink>
        <a:srgbClr val="4C1D9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20F0-041E-4DA1-BC8B-0752EC1EAF62}">
  <sheetPr>
    <tabColor theme="7" tint="-0.249977111117893"/>
  </sheetPr>
  <dimension ref="A1:F201"/>
  <sheetViews>
    <sheetView workbookViewId="0">
      <selection activeCell="F1" sqref="F1:F1048576"/>
    </sheetView>
  </sheetViews>
  <sheetFormatPr defaultRowHeight="15.6" x14ac:dyDescent="0.25"/>
  <cols>
    <col min="1" max="1" width="11.1796875" style="10" bestFit="1" customWidth="1"/>
    <col min="2" max="2" width="11" style="10" bestFit="1" customWidth="1"/>
    <col min="3" max="3" width="17.08984375" style="10" customWidth="1"/>
    <col min="4" max="4" width="28.7265625" style="10" customWidth="1"/>
    <col min="5" max="5" width="11" style="12"/>
    <col min="6" max="6" width="11" style="24"/>
    <col min="7" max="16384" width="8.7265625" style="4"/>
  </cols>
  <sheetData>
    <row r="1" spans="1:6" x14ac:dyDescent="0.25">
      <c r="A1" s="6" t="s">
        <v>0</v>
      </c>
      <c r="B1" s="6" t="s">
        <v>1</v>
      </c>
      <c r="C1" s="6" t="s">
        <v>587</v>
      </c>
      <c r="D1" s="6" t="s">
        <v>588</v>
      </c>
      <c r="E1" s="7" t="s">
        <v>589</v>
      </c>
      <c r="F1" s="22" t="s">
        <v>590</v>
      </c>
    </row>
    <row r="2" spans="1:6" x14ac:dyDescent="0.25">
      <c r="A2" s="8" t="s">
        <v>961</v>
      </c>
      <c r="B2" s="8" t="s">
        <v>962</v>
      </c>
      <c r="C2" s="8" t="s">
        <v>2</v>
      </c>
      <c r="D2" s="8" t="s">
        <v>886</v>
      </c>
      <c r="E2" s="9" t="s">
        <v>964</v>
      </c>
      <c r="F2" s="23">
        <v>41839</v>
      </c>
    </row>
    <row r="3" spans="1:6" x14ac:dyDescent="0.25">
      <c r="A3" s="8" t="s">
        <v>3</v>
      </c>
      <c r="B3" s="8" t="s">
        <v>4</v>
      </c>
      <c r="C3" s="8" t="s">
        <v>5</v>
      </c>
      <c r="D3" s="8" t="s">
        <v>6</v>
      </c>
      <c r="E3" s="7" t="s">
        <v>661</v>
      </c>
      <c r="F3" s="23">
        <v>41685</v>
      </c>
    </row>
    <row r="4" spans="1:6" x14ac:dyDescent="0.25">
      <c r="A4" s="8" t="s">
        <v>7</v>
      </c>
      <c r="B4" s="8" t="s">
        <v>8</v>
      </c>
      <c r="C4" s="8" t="s">
        <v>9</v>
      </c>
      <c r="D4" s="10" t="s">
        <v>857</v>
      </c>
      <c r="E4" s="11" t="s">
        <v>596</v>
      </c>
      <c r="F4" s="23">
        <v>41667</v>
      </c>
    </row>
    <row r="5" spans="1:6" x14ac:dyDescent="0.25">
      <c r="A5" s="8" t="s">
        <v>10</v>
      </c>
      <c r="B5" s="8" t="s">
        <v>11</v>
      </c>
      <c r="C5" s="8" t="s">
        <v>12</v>
      </c>
      <c r="D5" s="8" t="s">
        <v>856</v>
      </c>
      <c r="E5" s="7" t="s">
        <v>754</v>
      </c>
      <c r="F5" s="23">
        <v>41698</v>
      </c>
    </row>
    <row r="6" spans="1:6" x14ac:dyDescent="0.25">
      <c r="A6" s="8" t="s">
        <v>13</v>
      </c>
      <c r="B6" s="8" t="s">
        <v>14</v>
      </c>
      <c r="C6" s="8" t="s">
        <v>15</v>
      </c>
      <c r="D6" s="8" t="s">
        <v>859</v>
      </c>
      <c r="E6" s="7" t="s">
        <v>699</v>
      </c>
      <c r="F6" s="23">
        <v>41633</v>
      </c>
    </row>
    <row r="7" spans="1:6" x14ac:dyDescent="0.25">
      <c r="A7" s="8" t="s">
        <v>16</v>
      </c>
      <c r="B7" s="8" t="s">
        <v>17</v>
      </c>
      <c r="C7" s="8" t="s">
        <v>18</v>
      </c>
      <c r="D7" s="8" t="s">
        <v>858</v>
      </c>
      <c r="E7" s="7" t="s">
        <v>622</v>
      </c>
      <c r="F7" s="23">
        <v>41694</v>
      </c>
    </row>
    <row r="8" spans="1:6" x14ac:dyDescent="0.25">
      <c r="A8" s="8" t="s">
        <v>19</v>
      </c>
      <c r="B8" s="8" t="s">
        <v>20</v>
      </c>
      <c r="C8" s="8" t="s">
        <v>21</v>
      </c>
      <c r="D8" s="8" t="s">
        <v>860</v>
      </c>
      <c r="E8" s="7" t="s">
        <v>617</v>
      </c>
      <c r="F8" s="23">
        <v>41662</v>
      </c>
    </row>
    <row r="9" spans="1:6" x14ac:dyDescent="0.25">
      <c r="A9" s="8" t="s">
        <v>22</v>
      </c>
      <c r="B9" s="8" t="s">
        <v>23</v>
      </c>
      <c r="C9" s="8" t="s">
        <v>24</v>
      </c>
      <c r="D9" s="8" t="s">
        <v>861</v>
      </c>
      <c r="E9" s="7" t="s">
        <v>607</v>
      </c>
      <c r="F9" s="23">
        <v>41685</v>
      </c>
    </row>
    <row r="10" spans="1:6" x14ac:dyDescent="0.25">
      <c r="A10" s="8" t="s">
        <v>25</v>
      </c>
      <c r="B10" s="8" t="s">
        <v>26</v>
      </c>
      <c r="C10" s="8" t="s">
        <v>27</v>
      </c>
      <c r="D10" s="8" t="s">
        <v>789</v>
      </c>
      <c r="E10" s="7" t="s">
        <v>614</v>
      </c>
      <c r="F10" s="23">
        <v>41645</v>
      </c>
    </row>
    <row r="11" spans="1:6" x14ac:dyDescent="0.25">
      <c r="A11" s="8" t="s">
        <v>28</v>
      </c>
      <c r="B11" s="8" t="s">
        <v>29</v>
      </c>
      <c r="C11" s="8" t="s">
        <v>30</v>
      </c>
      <c r="D11" s="8" t="s">
        <v>870</v>
      </c>
      <c r="E11" s="7" t="s">
        <v>664</v>
      </c>
      <c r="F11" s="23">
        <v>41655</v>
      </c>
    </row>
    <row r="12" spans="1:6" x14ac:dyDescent="0.25">
      <c r="A12" s="8" t="s">
        <v>31</v>
      </c>
      <c r="B12" s="8" t="s">
        <v>32</v>
      </c>
      <c r="C12" s="8" t="s">
        <v>33</v>
      </c>
      <c r="D12" s="8" t="s">
        <v>788</v>
      </c>
      <c r="E12" s="7" t="s">
        <v>714</v>
      </c>
      <c r="F12" s="23">
        <v>41628</v>
      </c>
    </row>
    <row r="13" spans="1:6" x14ac:dyDescent="0.25">
      <c r="A13" s="8" t="s">
        <v>34</v>
      </c>
      <c r="B13" s="8" t="s">
        <v>35</v>
      </c>
      <c r="C13" s="8" t="s">
        <v>36</v>
      </c>
      <c r="D13" s="8" t="s">
        <v>889</v>
      </c>
      <c r="E13" s="7" t="s">
        <v>651</v>
      </c>
      <c r="F13" s="23">
        <v>41635</v>
      </c>
    </row>
    <row r="14" spans="1:6" x14ac:dyDescent="0.25">
      <c r="A14" s="8" t="s">
        <v>37</v>
      </c>
      <c r="B14" s="8" t="s">
        <v>38</v>
      </c>
      <c r="C14" s="8" t="s">
        <v>39</v>
      </c>
      <c r="D14" s="8" t="s">
        <v>963</v>
      </c>
      <c r="E14" s="7" t="s">
        <v>608</v>
      </c>
      <c r="F14" s="23">
        <v>41690</v>
      </c>
    </row>
    <row r="15" spans="1:6" x14ac:dyDescent="0.25">
      <c r="A15" s="8" t="s">
        <v>40</v>
      </c>
      <c r="B15" s="8" t="s">
        <v>41</v>
      </c>
      <c r="C15" s="8" t="s">
        <v>42</v>
      </c>
      <c r="D15" s="8" t="s">
        <v>885</v>
      </c>
      <c r="E15" s="7" t="s">
        <v>779</v>
      </c>
      <c r="F15" s="23">
        <v>41654</v>
      </c>
    </row>
    <row r="16" spans="1:6" x14ac:dyDescent="0.25">
      <c r="A16" s="8" t="s">
        <v>43</v>
      </c>
      <c r="B16" s="8" t="s">
        <v>44</v>
      </c>
      <c r="C16" s="8" t="s">
        <v>45</v>
      </c>
      <c r="D16" s="8" t="s">
        <v>46</v>
      </c>
      <c r="E16" s="7" t="s">
        <v>597</v>
      </c>
      <c r="F16" s="23">
        <v>41631</v>
      </c>
    </row>
    <row r="17" spans="1:6" x14ac:dyDescent="0.25">
      <c r="A17" s="8" t="s">
        <v>47</v>
      </c>
      <c r="B17" s="8" t="s">
        <v>48</v>
      </c>
      <c r="C17" s="8" t="s">
        <v>49</v>
      </c>
      <c r="D17" s="8" t="s">
        <v>887</v>
      </c>
      <c r="E17" s="7" t="s">
        <v>591</v>
      </c>
      <c r="F17" s="23">
        <v>41647</v>
      </c>
    </row>
    <row r="18" spans="1:6" x14ac:dyDescent="0.25">
      <c r="A18" s="8" t="s">
        <v>34</v>
      </c>
      <c r="B18" s="8" t="s">
        <v>50</v>
      </c>
      <c r="C18" s="8" t="s">
        <v>51</v>
      </c>
      <c r="D18" s="8" t="s">
        <v>790</v>
      </c>
      <c r="E18" s="7" t="s">
        <v>731</v>
      </c>
      <c r="F18" s="23">
        <v>41689</v>
      </c>
    </row>
    <row r="19" spans="1:6" x14ac:dyDescent="0.25">
      <c r="A19" s="8" t="s">
        <v>52</v>
      </c>
      <c r="B19" s="8" t="s">
        <v>53</v>
      </c>
      <c r="C19" s="8" t="s">
        <v>54</v>
      </c>
      <c r="D19" s="8" t="s">
        <v>791</v>
      </c>
      <c r="E19" s="7" t="s">
        <v>621</v>
      </c>
      <c r="F19" s="23">
        <v>41646</v>
      </c>
    </row>
    <row r="20" spans="1:6" x14ac:dyDescent="0.25">
      <c r="A20" s="8" t="s">
        <v>55</v>
      </c>
      <c r="B20" s="8" t="s">
        <v>56</v>
      </c>
      <c r="C20" s="8" t="s">
        <v>57</v>
      </c>
      <c r="D20" s="8" t="s">
        <v>890</v>
      </c>
      <c r="E20" s="7" t="s">
        <v>758</v>
      </c>
      <c r="F20" s="23">
        <v>41682</v>
      </c>
    </row>
    <row r="21" spans="1:6" x14ac:dyDescent="0.25">
      <c r="A21" s="8" t="s">
        <v>58</v>
      </c>
      <c r="B21" s="8" t="s">
        <v>59</v>
      </c>
      <c r="C21" s="8" t="s">
        <v>60</v>
      </c>
      <c r="D21" s="8" t="s">
        <v>792</v>
      </c>
      <c r="E21" s="7" t="s">
        <v>606</v>
      </c>
      <c r="F21" s="23">
        <v>41623</v>
      </c>
    </row>
    <row r="22" spans="1:6" x14ac:dyDescent="0.25">
      <c r="A22" s="8" t="s">
        <v>61</v>
      </c>
      <c r="B22" s="8" t="s">
        <v>62</v>
      </c>
      <c r="C22" s="8" t="s">
        <v>63</v>
      </c>
      <c r="D22" s="8" t="s">
        <v>793</v>
      </c>
      <c r="E22" s="7" t="s">
        <v>645</v>
      </c>
      <c r="F22" s="23">
        <v>41639</v>
      </c>
    </row>
    <row r="23" spans="1:6" x14ac:dyDescent="0.25">
      <c r="A23" s="8" t="s">
        <v>64</v>
      </c>
      <c r="B23" s="8" t="s">
        <v>65</v>
      </c>
      <c r="C23" s="8" t="s">
        <v>66</v>
      </c>
      <c r="D23" s="8" t="s">
        <v>888</v>
      </c>
      <c r="E23" s="7" t="s">
        <v>763</v>
      </c>
      <c r="F23" s="23">
        <v>41652</v>
      </c>
    </row>
    <row r="24" spans="1:6" x14ac:dyDescent="0.25">
      <c r="A24" s="8" t="s">
        <v>67</v>
      </c>
      <c r="B24" s="8" t="s">
        <v>68</v>
      </c>
      <c r="C24" s="8" t="s">
        <v>69</v>
      </c>
      <c r="D24" s="8" t="s">
        <v>871</v>
      </c>
      <c r="E24" s="7" t="s">
        <v>618</v>
      </c>
      <c r="F24" s="23">
        <v>41614</v>
      </c>
    </row>
    <row r="25" spans="1:6" x14ac:dyDescent="0.25">
      <c r="A25" s="8" t="s">
        <v>70</v>
      </c>
      <c r="B25" s="8" t="s">
        <v>71</v>
      </c>
      <c r="C25" s="8" t="s">
        <v>72</v>
      </c>
      <c r="D25" s="8" t="s">
        <v>905</v>
      </c>
      <c r="E25" s="7" t="s">
        <v>619</v>
      </c>
      <c r="F25" s="23">
        <v>41663</v>
      </c>
    </row>
    <row r="26" spans="1:6" x14ac:dyDescent="0.25">
      <c r="A26" s="8" t="s">
        <v>73</v>
      </c>
      <c r="B26" s="8" t="s">
        <v>74</v>
      </c>
      <c r="C26" s="8" t="s">
        <v>75</v>
      </c>
      <c r="D26" s="8" t="s">
        <v>794</v>
      </c>
      <c r="E26" s="7" t="s">
        <v>620</v>
      </c>
      <c r="F26" s="23">
        <v>41621</v>
      </c>
    </row>
    <row r="27" spans="1:6" x14ac:dyDescent="0.25">
      <c r="A27" s="8" t="s">
        <v>76</v>
      </c>
      <c r="B27" s="8" t="s">
        <v>77</v>
      </c>
      <c r="C27" s="8" t="s">
        <v>78</v>
      </c>
      <c r="D27" s="8" t="s">
        <v>79</v>
      </c>
      <c r="E27" s="7" t="s">
        <v>621</v>
      </c>
      <c r="F27" s="23">
        <v>41677</v>
      </c>
    </row>
    <row r="28" spans="1:6" x14ac:dyDescent="0.25">
      <c r="A28" s="8" t="s">
        <v>80</v>
      </c>
      <c r="B28" s="8" t="s">
        <v>81</v>
      </c>
      <c r="C28" s="8" t="s">
        <v>82</v>
      </c>
      <c r="D28" s="8" t="s">
        <v>83</v>
      </c>
      <c r="E28" s="7" t="s">
        <v>640</v>
      </c>
      <c r="F28" s="23">
        <v>41643</v>
      </c>
    </row>
    <row r="29" spans="1:6" x14ac:dyDescent="0.25">
      <c r="A29" s="8" t="s">
        <v>84</v>
      </c>
      <c r="B29" s="8" t="s">
        <v>85</v>
      </c>
      <c r="C29" s="8" t="s">
        <v>86</v>
      </c>
      <c r="D29" s="8" t="s">
        <v>904</v>
      </c>
      <c r="E29" s="7" t="s">
        <v>641</v>
      </c>
      <c r="F29" s="23">
        <v>41625</v>
      </c>
    </row>
    <row r="30" spans="1:6" x14ac:dyDescent="0.25">
      <c r="A30" s="8" t="s">
        <v>87</v>
      </c>
      <c r="B30" s="8" t="s">
        <v>88</v>
      </c>
      <c r="C30" s="8" t="s">
        <v>89</v>
      </c>
      <c r="D30" s="8" t="s">
        <v>906</v>
      </c>
      <c r="E30" s="7" t="s">
        <v>642</v>
      </c>
      <c r="F30" s="23">
        <v>41660</v>
      </c>
    </row>
    <row r="31" spans="1:6" x14ac:dyDescent="0.25">
      <c r="A31" s="8" t="s">
        <v>90</v>
      </c>
      <c r="B31" s="8" t="s">
        <v>91</v>
      </c>
      <c r="C31" s="8" t="s">
        <v>92</v>
      </c>
      <c r="D31" s="8" t="s">
        <v>795</v>
      </c>
      <c r="E31" s="7" t="s">
        <v>643</v>
      </c>
      <c r="F31" s="23">
        <v>41664</v>
      </c>
    </row>
    <row r="32" spans="1:6" x14ac:dyDescent="0.25">
      <c r="A32" s="8" t="s">
        <v>93</v>
      </c>
      <c r="B32" s="8" t="s">
        <v>94</v>
      </c>
      <c r="C32" s="8" t="s">
        <v>95</v>
      </c>
      <c r="D32" s="8" t="s">
        <v>862</v>
      </c>
      <c r="E32" s="7" t="s">
        <v>644</v>
      </c>
      <c r="F32" s="23">
        <v>41623</v>
      </c>
    </row>
    <row r="33" spans="1:6" x14ac:dyDescent="0.25">
      <c r="A33" s="8" t="s">
        <v>96</v>
      </c>
      <c r="B33" s="8" t="s">
        <v>97</v>
      </c>
      <c r="C33" s="8" t="s">
        <v>98</v>
      </c>
      <c r="D33" s="8" t="s">
        <v>891</v>
      </c>
      <c r="E33" s="7" t="s">
        <v>634</v>
      </c>
      <c r="F33" s="23">
        <v>41681</v>
      </c>
    </row>
    <row r="34" spans="1:6" x14ac:dyDescent="0.25">
      <c r="A34" s="8" t="s">
        <v>99</v>
      </c>
      <c r="B34" s="8" t="s">
        <v>100</v>
      </c>
      <c r="C34" s="8" t="s">
        <v>101</v>
      </c>
      <c r="D34" s="8" t="s">
        <v>892</v>
      </c>
      <c r="E34" s="7" t="s">
        <v>635</v>
      </c>
      <c r="F34" s="23">
        <v>41665</v>
      </c>
    </row>
    <row r="35" spans="1:6" x14ac:dyDescent="0.25">
      <c r="A35" s="8" t="s">
        <v>102</v>
      </c>
      <c r="B35" s="8" t="s">
        <v>103</v>
      </c>
      <c r="C35" s="8" t="s">
        <v>104</v>
      </c>
      <c r="D35" s="8" t="s">
        <v>796</v>
      </c>
      <c r="E35" s="7" t="s">
        <v>636</v>
      </c>
      <c r="F35" s="23">
        <v>41635</v>
      </c>
    </row>
    <row r="36" spans="1:6" x14ac:dyDescent="0.25">
      <c r="A36" s="8" t="s">
        <v>105</v>
      </c>
      <c r="B36" s="8" t="s">
        <v>106</v>
      </c>
      <c r="C36" s="8" t="s">
        <v>107</v>
      </c>
      <c r="D36" s="8" t="s">
        <v>872</v>
      </c>
      <c r="E36" s="7" t="s">
        <v>626</v>
      </c>
      <c r="F36" s="23">
        <v>41634</v>
      </c>
    </row>
    <row r="37" spans="1:6" x14ac:dyDescent="0.25">
      <c r="A37" s="8" t="s">
        <v>108</v>
      </c>
      <c r="B37" s="8" t="s">
        <v>109</v>
      </c>
      <c r="C37" s="8" t="s">
        <v>110</v>
      </c>
      <c r="D37" s="8" t="s">
        <v>797</v>
      </c>
      <c r="E37" s="7" t="s">
        <v>627</v>
      </c>
      <c r="F37" s="23">
        <v>41665</v>
      </c>
    </row>
    <row r="38" spans="1:6" x14ac:dyDescent="0.25">
      <c r="A38" s="8" t="s">
        <v>111</v>
      </c>
      <c r="B38" s="8" t="s">
        <v>112</v>
      </c>
      <c r="C38" s="8" t="s">
        <v>113</v>
      </c>
      <c r="D38" s="8" t="s">
        <v>798</v>
      </c>
      <c r="E38" s="7" t="s">
        <v>628</v>
      </c>
      <c r="F38" s="23">
        <v>41685</v>
      </c>
    </row>
    <row r="39" spans="1:6" x14ac:dyDescent="0.25">
      <c r="A39" s="8" t="s">
        <v>114</v>
      </c>
      <c r="B39" s="8" t="s">
        <v>115</v>
      </c>
      <c r="C39" s="8" t="s">
        <v>116</v>
      </c>
      <c r="D39" s="8" t="s">
        <v>863</v>
      </c>
      <c r="E39" s="7" t="s">
        <v>629</v>
      </c>
      <c r="F39" s="23">
        <v>41690</v>
      </c>
    </row>
    <row r="40" spans="1:6" x14ac:dyDescent="0.25">
      <c r="A40" s="8" t="s">
        <v>117</v>
      </c>
      <c r="B40" s="8" t="s">
        <v>118</v>
      </c>
      <c r="C40" s="8" t="s">
        <v>119</v>
      </c>
      <c r="D40" s="8" t="s">
        <v>120</v>
      </c>
      <c r="E40" s="7" t="s">
        <v>630</v>
      </c>
      <c r="F40" s="23">
        <v>41643</v>
      </c>
    </row>
    <row r="41" spans="1:6" x14ac:dyDescent="0.25">
      <c r="A41" s="8" t="s">
        <v>121</v>
      </c>
      <c r="B41" s="8" t="s">
        <v>91</v>
      </c>
      <c r="C41" s="8" t="s">
        <v>122</v>
      </c>
      <c r="D41" s="8" t="s">
        <v>799</v>
      </c>
      <c r="E41" s="7" t="s">
        <v>631</v>
      </c>
      <c r="F41" s="23">
        <v>41680</v>
      </c>
    </row>
    <row r="42" spans="1:6" x14ac:dyDescent="0.25">
      <c r="A42" s="8" t="s">
        <v>123</v>
      </c>
      <c r="B42" s="8" t="s">
        <v>124</v>
      </c>
      <c r="C42" s="8" t="s">
        <v>125</v>
      </c>
      <c r="D42" s="8" t="s">
        <v>893</v>
      </c>
      <c r="E42" s="7" t="s">
        <v>632</v>
      </c>
      <c r="F42" s="23">
        <v>41645</v>
      </c>
    </row>
    <row r="43" spans="1:6" x14ac:dyDescent="0.25">
      <c r="A43" s="8" t="s">
        <v>126</v>
      </c>
      <c r="B43" s="8" t="s">
        <v>127</v>
      </c>
      <c r="C43" s="8" t="s">
        <v>128</v>
      </c>
      <c r="D43" s="8" t="s">
        <v>800</v>
      </c>
      <c r="E43" s="7" t="s">
        <v>633</v>
      </c>
      <c r="F43" s="23">
        <v>41680</v>
      </c>
    </row>
    <row r="44" spans="1:6" x14ac:dyDescent="0.25">
      <c r="A44" s="8" t="s">
        <v>129</v>
      </c>
      <c r="B44" s="8" t="s">
        <v>130</v>
      </c>
      <c r="C44" s="8" t="s">
        <v>131</v>
      </c>
      <c r="D44" s="8" t="s">
        <v>801</v>
      </c>
      <c r="E44" s="7" t="s">
        <v>639</v>
      </c>
      <c r="F44" s="23">
        <v>41678</v>
      </c>
    </row>
    <row r="45" spans="1:6" x14ac:dyDescent="0.25">
      <c r="A45" s="8" t="s">
        <v>132</v>
      </c>
      <c r="B45" s="8" t="s">
        <v>133</v>
      </c>
      <c r="C45" s="8" t="s">
        <v>134</v>
      </c>
      <c r="D45" s="8" t="s">
        <v>802</v>
      </c>
      <c r="E45" s="7" t="s">
        <v>637</v>
      </c>
      <c r="F45" s="23">
        <v>41679</v>
      </c>
    </row>
    <row r="46" spans="1:6" x14ac:dyDescent="0.25">
      <c r="A46" s="8" t="s">
        <v>135</v>
      </c>
      <c r="B46" s="8" t="s">
        <v>136</v>
      </c>
      <c r="C46" s="8" t="s">
        <v>137</v>
      </c>
      <c r="D46" s="8" t="s">
        <v>138</v>
      </c>
      <c r="E46" s="7" t="s">
        <v>638</v>
      </c>
      <c r="F46" s="23">
        <v>41694</v>
      </c>
    </row>
    <row r="47" spans="1:6" x14ac:dyDescent="0.25">
      <c r="A47" s="8" t="s">
        <v>139</v>
      </c>
      <c r="B47" s="8" t="s">
        <v>140</v>
      </c>
      <c r="C47" s="8" t="s">
        <v>141</v>
      </c>
      <c r="D47" s="8" t="s">
        <v>894</v>
      </c>
      <c r="E47" s="7" t="s">
        <v>648</v>
      </c>
      <c r="F47" s="23">
        <v>41609</v>
      </c>
    </row>
    <row r="48" spans="1:6" x14ac:dyDescent="0.25">
      <c r="A48" s="8" t="s">
        <v>142</v>
      </c>
      <c r="B48" s="8" t="s">
        <v>143</v>
      </c>
      <c r="C48" s="8" t="s">
        <v>144</v>
      </c>
      <c r="D48" s="8" t="s">
        <v>895</v>
      </c>
      <c r="E48" s="7" t="s">
        <v>649</v>
      </c>
      <c r="F48" s="23">
        <v>41662</v>
      </c>
    </row>
    <row r="49" spans="1:6" x14ac:dyDescent="0.25">
      <c r="A49" s="8" t="s">
        <v>145</v>
      </c>
      <c r="B49" s="8" t="s">
        <v>146</v>
      </c>
      <c r="C49" s="8" t="s">
        <v>147</v>
      </c>
      <c r="D49" s="8" t="s">
        <v>803</v>
      </c>
      <c r="E49" s="7" t="s">
        <v>650</v>
      </c>
      <c r="F49" s="23">
        <v>41651</v>
      </c>
    </row>
    <row r="50" spans="1:6" x14ac:dyDescent="0.25">
      <c r="A50" s="8" t="s">
        <v>148</v>
      </c>
      <c r="B50" s="8" t="s">
        <v>149</v>
      </c>
      <c r="C50" s="8" t="s">
        <v>150</v>
      </c>
      <c r="D50" s="8" t="s">
        <v>804</v>
      </c>
      <c r="E50" s="7" t="s">
        <v>646</v>
      </c>
      <c r="F50" s="23">
        <v>41696</v>
      </c>
    </row>
    <row r="51" spans="1:6" x14ac:dyDescent="0.25">
      <c r="A51" s="8" t="s">
        <v>151</v>
      </c>
      <c r="B51" s="8" t="s">
        <v>152</v>
      </c>
      <c r="C51" s="8" t="s">
        <v>153</v>
      </c>
      <c r="D51" s="8" t="s">
        <v>873</v>
      </c>
      <c r="E51" s="7" t="s">
        <v>647</v>
      </c>
      <c r="F51" s="23">
        <v>41619</v>
      </c>
    </row>
    <row r="52" spans="1:6" x14ac:dyDescent="0.25">
      <c r="A52" s="8" t="s">
        <v>154</v>
      </c>
      <c r="B52" s="8" t="s">
        <v>155</v>
      </c>
      <c r="C52" s="8" t="s">
        <v>156</v>
      </c>
      <c r="D52" s="8" t="s">
        <v>805</v>
      </c>
      <c r="E52" s="7" t="s">
        <v>652</v>
      </c>
      <c r="F52" s="23">
        <v>41660</v>
      </c>
    </row>
    <row r="53" spans="1:6" x14ac:dyDescent="0.25">
      <c r="A53" s="8" t="s">
        <v>157</v>
      </c>
      <c r="B53" s="8" t="s">
        <v>48</v>
      </c>
      <c r="C53" s="8" t="s">
        <v>158</v>
      </c>
      <c r="D53" s="8" t="s">
        <v>806</v>
      </c>
      <c r="E53" s="7" t="s">
        <v>653</v>
      </c>
      <c r="F53" s="23">
        <v>41635</v>
      </c>
    </row>
    <row r="54" spans="1:6" x14ac:dyDescent="0.25">
      <c r="A54" s="8" t="s">
        <v>159</v>
      </c>
      <c r="B54" s="8" t="s">
        <v>160</v>
      </c>
      <c r="C54" s="8" t="s">
        <v>161</v>
      </c>
      <c r="D54" s="8" t="s">
        <v>807</v>
      </c>
      <c r="E54" s="7" t="s">
        <v>654</v>
      </c>
      <c r="F54" s="23">
        <v>41681</v>
      </c>
    </row>
    <row r="55" spans="1:6" x14ac:dyDescent="0.25">
      <c r="A55" s="8" t="s">
        <v>162</v>
      </c>
      <c r="B55" s="8" t="s">
        <v>163</v>
      </c>
      <c r="C55" s="8" t="s">
        <v>164</v>
      </c>
      <c r="D55" s="8" t="s">
        <v>808</v>
      </c>
      <c r="E55" s="7" t="s">
        <v>655</v>
      </c>
      <c r="F55" s="23">
        <v>41688</v>
      </c>
    </row>
    <row r="56" spans="1:6" x14ac:dyDescent="0.25">
      <c r="A56" s="8" t="s">
        <v>165</v>
      </c>
      <c r="B56" s="8" t="s">
        <v>166</v>
      </c>
      <c r="C56" s="8" t="s">
        <v>167</v>
      </c>
      <c r="D56" s="8" t="s">
        <v>809</v>
      </c>
      <c r="E56" s="7" t="s">
        <v>656</v>
      </c>
      <c r="F56" s="23">
        <v>41677</v>
      </c>
    </row>
    <row r="57" spans="1:6" x14ac:dyDescent="0.25">
      <c r="A57" s="8" t="s">
        <v>168</v>
      </c>
      <c r="B57" s="8" t="s">
        <v>169</v>
      </c>
      <c r="C57" s="8" t="s">
        <v>170</v>
      </c>
      <c r="D57" s="8" t="s">
        <v>810</v>
      </c>
      <c r="E57" s="7" t="s">
        <v>657</v>
      </c>
      <c r="F57" s="23">
        <v>41682</v>
      </c>
    </row>
    <row r="58" spans="1:6" x14ac:dyDescent="0.25">
      <c r="A58" s="8" t="s">
        <v>171</v>
      </c>
      <c r="B58" s="8" t="s">
        <v>172</v>
      </c>
      <c r="C58" s="8" t="s">
        <v>173</v>
      </c>
      <c r="D58" s="8" t="s">
        <v>811</v>
      </c>
      <c r="E58" s="7" t="s">
        <v>658</v>
      </c>
      <c r="F58" s="23">
        <v>41640</v>
      </c>
    </row>
    <row r="59" spans="1:6" x14ac:dyDescent="0.25">
      <c r="A59" s="8" t="s">
        <v>174</v>
      </c>
      <c r="B59" s="8" t="s">
        <v>4</v>
      </c>
      <c r="C59" s="8" t="s">
        <v>175</v>
      </c>
      <c r="D59" s="8" t="s">
        <v>874</v>
      </c>
      <c r="E59" s="7" t="s">
        <v>659</v>
      </c>
      <c r="F59" s="23">
        <v>41689</v>
      </c>
    </row>
    <row r="60" spans="1:6" x14ac:dyDescent="0.25">
      <c r="A60" s="8" t="s">
        <v>176</v>
      </c>
      <c r="B60" s="8" t="s">
        <v>177</v>
      </c>
      <c r="C60" s="8" t="s">
        <v>178</v>
      </c>
      <c r="D60" s="8" t="s">
        <v>812</v>
      </c>
      <c r="E60" s="7" t="s">
        <v>660</v>
      </c>
      <c r="F60" s="23">
        <v>41616</v>
      </c>
    </row>
    <row r="61" spans="1:6" x14ac:dyDescent="0.25">
      <c r="A61" s="8" t="s">
        <v>179</v>
      </c>
      <c r="B61" s="8" t="s">
        <v>180</v>
      </c>
      <c r="C61" s="8" t="s">
        <v>181</v>
      </c>
      <c r="D61" s="8" t="s">
        <v>813</v>
      </c>
      <c r="E61" s="7" t="s">
        <v>661</v>
      </c>
      <c r="F61" s="23">
        <v>41651</v>
      </c>
    </row>
    <row r="62" spans="1:6" x14ac:dyDescent="0.25">
      <c r="A62" s="8" t="s">
        <v>182</v>
      </c>
      <c r="B62" s="8" t="s">
        <v>183</v>
      </c>
      <c r="C62" s="8" t="s">
        <v>184</v>
      </c>
      <c r="D62" s="8" t="s">
        <v>896</v>
      </c>
      <c r="E62" s="7" t="s">
        <v>662</v>
      </c>
      <c r="F62" s="23">
        <v>41670</v>
      </c>
    </row>
    <row r="63" spans="1:6" x14ac:dyDescent="0.25">
      <c r="A63" s="8" t="s">
        <v>185</v>
      </c>
      <c r="B63" s="8" t="s">
        <v>186</v>
      </c>
      <c r="C63" s="8" t="s">
        <v>187</v>
      </c>
      <c r="D63" s="8" t="s">
        <v>814</v>
      </c>
      <c r="E63" s="7" t="s">
        <v>663</v>
      </c>
      <c r="F63" s="23">
        <v>41693</v>
      </c>
    </row>
    <row r="64" spans="1:6" x14ac:dyDescent="0.25">
      <c r="A64" s="8" t="s">
        <v>188</v>
      </c>
      <c r="B64" s="8" t="s">
        <v>143</v>
      </c>
      <c r="C64" s="8" t="s">
        <v>189</v>
      </c>
      <c r="D64" s="8" t="s">
        <v>897</v>
      </c>
      <c r="E64" s="7" t="s">
        <v>665</v>
      </c>
      <c r="F64" s="23">
        <v>41619</v>
      </c>
    </row>
    <row r="65" spans="1:6" x14ac:dyDescent="0.25">
      <c r="A65" s="8" t="s">
        <v>190</v>
      </c>
      <c r="B65" s="8" t="s">
        <v>191</v>
      </c>
      <c r="C65" s="8" t="s">
        <v>192</v>
      </c>
      <c r="D65" s="8" t="s">
        <v>864</v>
      </c>
      <c r="E65" s="7" t="s">
        <v>666</v>
      </c>
      <c r="F65" s="23">
        <v>41684</v>
      </c>
    </row>
    <row r="66" spans="1:6" x14ac:dyDescent="0.25">
      <c r="A66" s="8" t="s">
        <v>193</v>
      </c>
      <c r="B66" s="8" t="s">
        <v>194</v>
      </c>
      <c r="C66" s="8" t="s">
        <v>195</v>
      </c>
      <c r="D66" s="8" t="s">
        <v>815</v>
      </c>
      <c r="E66" s="7" t="s">
        <v>667</v>
      </c>
      <c r="F66" s="23">
        <v>41652</v>
      </c>
    </row>
    <row r="67" spans="1:6" x14ac:dyDescent="0.25">
      <c r="A67" s="8" t="s">
        <v>196</v>
      </c>
      <c r="B67" s="8" t="s">
        <v>197</v>
      </c>
      <c r="C67" s="8" t="s">
        <v>198</v>
      </c>
      <c r="D67" s="8" t="s">
        <v>816</v>
      </c>
      <c r="E67" s="7" t="s">
        <v>672</v>
      </c>
      <c r="F67" s="23">
        <v>41612</v>
      </c>
    </row>
    <row r="68" spans="1:6" x14ac:dyDescent="0.25">
      <c r="A68" s="8" t="s">
        <v>199</v>
      </c>
      <c r="B68" s="8" t="s">
        <v>200</v>
      </c>
      <c r="C68" s="8" t="s">
        <v>201</v>
      </c>
      <c r="D68" s="8" t="s">
        <v>817</v>
      </c>
      <c r="E68" s="7" t="s">
        <v>673</v>
      </c>
      <c r="F68" s="23">
        <v>41640</v>
      </c>
    </row>
    <row r="69" spans="1:6" x14ac:dyDescent="0.25">
      <c r="A69" s="8" t="s">
        <v>202</v>
      </c>
      <c r="B69" s="8" t="s">
        <v>203</v>
      </c>
      <c r="C69" s="8" t="s">
        <v>204</v>
      </c>
      <c r="D69" s="8" t="s">
        <v>875</v>
      </c>
      <c r="E69" s="7" t="s">
        <v>674</v>
      </c>
      <c r="F69" s="23">
        <v>41639</v>
      </c>
    </row>
    <row r="70" spans="1:6" x14ac:dyDescent="0.25">
      <c r="A70" s="8" t="s">
        <v>205</v>
      </c>
      <c r="B70" s="8" t="s">
        <v>206</v>
      </c>
      <c r="C70" s="8" t="s">
        <v>207</v>
      </c>
      <c r="D70" s="8" t="s">
        <v>818</v>
      </c>
      <c r="E70" s="7" t="s">
        <v>675</v>
      </c>
      <c r="F70" s="23">
        <v>41675</v>
      </c>
    </row>
    <row r="71" spans="1:6" x14ac:dyDescent="0.25">
      <c r="A71" s="8" t="s">
        <v>208</v>
      </c>
      <c r="B71" s="8" t="s">
        <v>209</v>
      </c>
      <c r="C71" s="8" t="s">
        <v>210</v>
      </c>
      <c r="D71" s="8" t="s">
        <v>819</v>
      </c>
      <c r="E71" s="7" t="s">
        <v>676</v>
      </c>
      <c r="F71" s="23">
        <v>41699</v>
      </c>
    </row>
    <row r="72" spans="1:6" x14ac:dyDescent="0.25">
      <c r="A72" s="8" t="s">
        <v>211</v>
      </c>
      <c r="B72" s="8" t="s">
        <v>212</v>
      </c>
      <c r="C72" s="8" t="s">
        <v>213</v>
      </c>
      <c r="D72" s="8" t="s">
        <v>214</v>
      </c>
      <c r="E72" s="7" t="s">
        <v>677</v>
      </c>
      <c r="F72" s="23">
        <v>41681</v>
      </c>
    </row>
    <row r="73" spans="1:6" x14ac:dyDescent="0.25">
      <c r="A73" s="8" t="s">
        <v>215</v>
      </c>
      <c r="B73" s="8" t="s">
        <v>216</v>
      </c>
      <c r="C73" s="8" t="s">
        <v>217</v>
      </c>
      <c r="D73" s="8" t="s">
        <v>218</v>
      </c>
      <c r="E73" s="7" t="s">
        <v>678</v>
      </c>
      <c r="F73" s="23">
        <v>41623</v>
      </c>
    </row>
    <row r="74" spans="1:6" x14ac:dyDescent="0.25">
      <c r="A74" s="8" t="s">
        <v>219</v>
      </c>
      <c r="B74" s="8" t="s">
        <v>220</v>
      </c>
      <c r="C74" s="8" t="s">
        <v>221</v>
      </c>
      <c r="D74" s="8" t="s">
        <v>820</v>
      </c>
      <c r="E74" s="7" t="s">
        <v>679</v>
      </c>
      <c r="F74" s="23">
        <v>41611</v>
      </c>
    </row>
    <row r="75" spans="1:6" x14ac:dyDescent="0.25">
      <c r="A75" s="8" t="s">
        <v>222</v>
      </c>
      <c r="B75" s="8" t="s">
        <v>223</v>
      </c>
      <c r="C75" s="8" t="s">
        <v>224</v>
      </c>
      <c r="D75" s="8" t="s">
        <v>821</v>
      </c>
      <c r="E75" s="7" t="s">
        <v>680</v>
      </c>
      <c r="F75" s="23">
        <v>41684</v>
      </c>
    </row>
    <row r="76" spans="1:6" x14ac:dyDescent="0.25">
      <c r="A76" s="8" t="s">
        <v>225</v>
      </c>
      <c r="B76" s="8" t="s">
        <v>226</v>
      </c>
      <c r="C76" s="8" t="s">
        <v>227</v>
      </c>
      <c r="D76" s="8" t="s">
        <v>876</v>
      </c>
      <c r="E76" s="7" t="s">
        <v>668</v>
      </c>
      <c r="F76" s="23">
        <v>41641</v>
      </c>
    </row>
    <row r="77" spans="1:6" x14ac:dyDescent="0.25">
      <c r="A77" s="8" t="s">
        <v>228</v>
      </c>
      <c r="B77" s="8" t="s">
        <v>229</v>
      </c>
      <c r="C77" s="8" t="s">
        <v>230</v>
      </c>
      <c r="D77" s="8" t="s">
        <v>898</v>
      </c>
      <c r="E77" s="7" t="s">
        <v>669</v>
      </c>
      <c r="F77" s="23">
        <v>41682</v>
      </c>
    </row>
    <row r="78" spans="1:6" x14ac:dyDescent="0.25">
      <c r="A78" s="8" t="s">
        <v>231</v>
      </c>
      <c r="B78" s="8" t="s">
        <v>232</v>
      </c>
      <c r="C78" s="8" t="s">
        <v>233</v>
      </c>
      <c r="D78" s="8" t="s">
        <v>822</v>
      </c>
      <c r="E78" s="7" t="s">
        <v>670</v>
      </c>
      <c r="F78" s="23">
        <v>41636</v>
      </c>
    </row>
    <row r="79" spans="1:6" x14ac:dyDescent="0.25">
      <c r="A79" s="8" t="s">
        <v>234</v>
      </c>
      <c r="B79" s="8" t="s">
        <v>235</v>
      </c>
      <c r="C79" s="8" t="s">
        <v>236</v>
      </c>
      <c r="D79" s="8" t="s">
        <v>823</v>
      </c>
      <c r="E79" s="7" t="s">
        <v>671</v>
      </c>
      <c r="F79" s="23">
        <v>41664</v>
      </c>
    </row>
    <row r="80" spans="1:6" x14ac:dyDescent="0.25">
      <c r="A80" s="8" t="s">
        <v>237</v>
      </c>
      <c r="B80" s="8" t="s">
        <v>135</v>
      </c>
      <c r="C80" s="8" t="s">
        <v>238</v>
      </c>
      <c r="D80" s="8" t="s">
        <v>865</v>
      </c>
      <c r="E80" s="7" t="s">
        <v>681</v>
      </c>
      <c r="F80" s="23">
        <v>41623</v>
      </c>
    </row>
    <row r="81" spans="1:6" x14ac:dyDescent="0.25">
      <c r="A81" s="8" t="s">
        <v>239</v>
      </c>
      <c r="B81" s="8" t="s">
        <v>240</v>
      </c>
      <c r="C81" s="8" t="s">
        <v>241</v>
      </c>
      <c r="D81" s="8" t="s">
        <v>824</v>
      </c>
      <c r="E81" s="7" t="s">
        <v>682</v>
      </c>
      <c r="F81" s="23">
        <v>41665</v>
      </c>
    </row>
    <row r="82" spans="1:6" x14ac:dyDescent="0.25">
      <c r="A82" s="8" t="s">
        <v>242</v>
      </c>
      <c r="B82" s="8" t="s">
        <v>243</v>
      </c>
      <c r="C82" s="8" t="s">
        <v>244</v>
      </c>
      <c r="D82" s="8" t="s">
        <v>825</v>
      </c>
      <c r="E82" s="7" t="s">
        <v>683</v>
      </c>
      <c r="F82" s="23">
        <v>41662</v>
      </c>
    </row>
    <row r="83" spans="1:6" x14ac:dyDescent="0.25">
      <c r="A83" s="8" t="s">
        <v>245</v>
      </c>
      <c r="B83" s="8" t="s">
        <v>246</v>
      </c>
      <c r="C83" s="8" t="s">
        <v>247</v>
      </c>
      <c r="D83" s="8" t="s">
        <v>826</v>
      </c>
      <c r="E83" s="7" t="s">
        <v>684</v>
      </c>
      <c r="F83" s="23">
        <v>41637</v>
      </c>
    </row>
    <row r="84" spans="1:6" x14ac:dyDescent="0.25">
      <c r="A84" s="8" t="s">
        <v>248</v>
      </c>
      <c r="B84" s="8" t="s">
        <v>249</v>
      </c>
      <c r="C84" s="8" t="s">
        <v>250</v>
      </c>
      <c r="D84" s="8" t="s">
        <v>899</v>
      </c>
      <c r="E84" s="7" t="s">
        <v>685</v>
      </c>
      <c r="F84" s="23">
        <v>41624</v>
      </c>
    </row>
    <row r="85" spans="1:6" x14ac:dyDescent="0.25">
      <c r="A85" s="8" t="s">
        <v>251</v>
      </c>
      <c r="B85" s="8" t="s">
        <v>252</v>
      </c>
      <c r="C85" s="8" t="s">
        <v>253</v>
      </c>
      <c r="D85" s="8" t="s">
        <v>827</v>
      </c>
      <c r="E85" s="7" t="s">
        <v>686</v>
      </c>
      <c r="F85" s="23">
        <v>41633</v>
      </c>
    </row>
    <row r="86" spans="1:6" x14ac:dyDescent="0.25">
      <c r="A86" s="8" t="s">
        <v>254</v>
      </c>
      <c r="B86" s="8" t="s">
        <v>255</v>
      </c>
      <c r="C86" s="8" t="s">
        <v>256</v>
      </c>
      <c r="D86" s="8" t="s">
        <v>828</v>
      </c>
      <c r="E86" s="7" t="s">
        <v>687</v>
      </c>
      <c r="F86" s="23">
        <v>41629</v>
      </c>
    </row>
    <row r="87" spans="1:6" x14ac:dyDescent="0.25">
      <c r="A87" s="8" t="s">
        <v>257</v>
      </c>
      <c r="B87" s="8" t="s">
        <v>258</v>
      </c>
      <c r="C87" s="8" t="s">
        <v>259</v>
      </c>
      <c r="D87" s="8" t="s">
        <v>260</v>
      </c>
      <c r="E87" s="7" t="s">
        <v>688</v>
      </c>
      <c r="F87" s="23">
        <v>41687</v>
      </c>
    </row>
    <row r="88" spans="1:6" x14ac:dyDescent="0.25">
      <c r="A88" s="8" t="s">
        <v>261</v>
      </c>
      <c r="B88" s="8" t="s">
        <v>262</v>
      </c>
      <c r="C88" s="8" t="s">
        <v>263</v>
      </c>
      <c r="D88" s="8" t="s">
        <v>829</v>
      </c>
      <c r="E88" s="7" t="s">
        <v>689</v>
      </c>
      <c r="F88" s="23">
        <v>41686</v>
      </c>
    </row>
    <row r="89" spans="1:6" x14ac:dyDescent="0.25">
      <c r="A89" s="8" t="s">
        <v>264</v>
      </c>
      <c r="B89" s="8" t="s">
        <v>265</v>
      </c>
      <c r="C89" s="8" t="s">
        <v>266</v>
      </c>
      <c r="D89" s="8" t="s">
        <v>830</v>
      </c>
      <c r="E89" s="7" t="s">
        <v>692</v>
      </c>
      <c r="F89" s="23">
        <v>41671</v>
      </c>
    </row>
    <row r="90" spans="1:6" x14ac:dyDescent="0.25">
      <c r="A90" s="8" t="s">
        <v>267</v>
      </c>
      <c r="B90" s="8" t="s">
        <v>268</v>
      </c>
      <c r="C90" s="8" t="s">
        <v>269</v>
      </c>
      <c r="D90" s="8" t="s">
        <v>831</v>
      </c>
      <c r="E90" s="7" t="s">
        <v>604</v>
      </c>
      <c r="F90" s="23">
        <v>41663</v>
      </c>
    </row>
    <row r="91" spans="1:6" x14ac:dyDescent="0.25">
      <c r="A91" s="8" t="s">
        <v>270</v>
      </c>
      <c r="B91" s="8" t="s">
        <v>271</v>
      </c>
      <c r="C91" s="8" t="s">
        <v>272</v>
      </c>
      <c r="D91" s="8" t="s">
        <v>877</v>
      </c>
      <c r="E91" s="7" t="s">
        <v>693</v>
      </c>
      <c r="F91" s="23">
        <v>41662</v>
      </c>
    </row>
    <row r="92" spans="1:6" x14ac:dyDescent="0.25">
      <c r="A92" s="8" t="s">
        <v>273</v>
      </c>
      <c r="B92" s="8" t="s">
        <v>274</v>
      </c>
      <c r="C92" s="8" t="s">
        <v>275</v>
      </c>
      <c r="D92" s="8" t="s">
        <v>832</v>
      </c>
      <c r="E92" s="7" t="s">
        <v>691</v>
      </c>
      <c r="F92" s="23">
        <v>41637</v>
      </c>
    </row>
    <row r="93" spans="1:6" x14ac:dyDescent="0.25">
      <c r="A93" s="8" t="s">
        <v>276</v>
      </c>
      <c r="B93" s="8" t="s">
        <v>50</v>
      </c>
      <c r="C93" s="8" t="s">
        <v>277</v>
      </c>
      <c r="D93" s="8" t="s">
        <v>878</v>
      </c>
      <c r="E93" s="7" t="s">
        <v>698</v>
      </c>
      <c r="F93" s="23">
        <v>41619</v>
      </c>
    </row>
    <row r="94" spans="1:6" x14ac:dyDescent="0.25">
      <c r="A94" s="8" t="s">
        <v>135</v>
      </c>
      <c r="B94" s="8" t="s">
        <v>278</v>
      </c>
      <c r="C94" s="8" t="s">
        <v>279</v>
      </c>
      <c r="D94" s="8" t="s">
        <v>833</v>
      </c>
      <c r="E94" s="7" t="s">
        <v>694</v>
      </c>
      <c r="F94" s="23">
        <v>41689</v>
      </c>
    </row>
    <row r="95" spans="1:6" x14ac:dyDescent="0.25">
      <c r="A95" s="8" t="s">
        <v>280</v>
      </c>
      <c r="B95" s="8" t="s">
        <v>281</v>
      </c>
      <c r="C95" s="8" t="s">
        <v>282</v>
      </c>
      <c r="D95" s="8" t="s">
        <v>879</v>
      </c>
      <c r="E95" s="7" t="s">
        <v>695</v>
      </c>
      <c r="F95" s="23">
        <v>41631</v>
      </c>
    </row>
    <row r="96" spans="1:6" x14ac:dyDescent="0.25">
      <c r="A96" s="8" t="s">
        <v>283</v>
      </c>
      <c r="B96" s="8" t="s">
        <v>284</v>
      </c>
      <c r="C96" s="8" t="s">
        <v>285</v>
      </c>
      <c r="D96" s="8" t="s">
        <v>834</v>
      </c>
      <c r="E96" s="7" t="s">
        <v>696</v>
      </c>
      <c r="F96" s="23">
        <v>41682</v>
      </c>
    </row>
    <row r="97" spans="1:6" x14ac:dyDescent="0.25">
      <c r="A97" s="8" t="s">
        <v>55</v>
      </c>
      <c r="B97" s="8" t="s">
        <v>17</v>
      </c>
      <c r="C97" s="8" t="s">
        <v>286</v>
      </c>
      <c r="D97" s="8" t="s">
        <v>287</v>
      </c>
      <c r="E97" s="7" t="s">
        <v>697</v>
      </c>
      <c r="F97" s="23">
        <v>41624</v>
      </c>
    </row>
    <row r="98" spans="1:6" x14ac:dyDescent="0.25">
      <c r="A98" s="8" t="s">
        <v>288</v>
      </c>
      <c r="B98" s="8" t="s">
        <v>289</v>
      </c>
      <c r="C98" s="8" t="s">
        <v>290</v>
      </c>
      <c r="D98" s="8" t="s">
        <v>900</v>
      </c>
      <c r="E98" s="7" t="s">
        <v>690</v>
      </c>
      <c r="F98" s="23">
        <v>41687</v>
      </c>
    </row>
    <row r="99" spans="1:6" x14ac:dyDescent="0.25">
      <c r="A99" s="8" t="s">
        <v>215</v>
      </c>
      <c r="B99" s="8" t="s">
        <v>291</v>
      </c>
      <c r="C99" s="8" t="s">
        <v>292</v>
      </c>
      <c r="D99" s="8" t="s">
        <v>880</v>
      </c>
      <c r="E99" s="7" t="s">
        <v>703</v>
      </c>
      <c r="F99" s="23">
        <v>41673</v>
      </c>
    </row>
    <row r="100" spans="1:6" x14ac:dyDescent="0.25">
      <c r="A100" s="8" t="s">
        <v>293</v>
      </c>
      <c r="B100" s="8" t="s">
        <v>294</v>
      </c>
      <c r="C100" s="8" t="s">
        <v>295</v>
      </c>
      <c r="D100" s="8" t="s">
        <v>881</v>
      </c>
      <c r="E100" s="7" t="s">
        <v>704</v>
      </c>
      <c r="F100" s="23">
        <v>41612</v>
      </c>
    </row>
    <row r="101" spans="1:6" x14ac:dyDescent="0.25">
      <c r="A101" s="8" t="s">
        <v>296</v>
      </c>
      <c r="B101" s="8" t="s">
        <v>297</v>
      </c>
      <c r="C101" s="8" t="s">
        <v>298</v>
      </c>
      <c r="D101" s="8" t="s">
        <v>835</v>
      </c>
      <c r="E101" s="7" t="s">
        <v>701</v>
      </c>
      <c r="F101" s="23">
        <v>41651</v>
      </c>
    </row>
    <row r="102" spans="1:6" x14ac:dyDescent="0.25">
      <c r="A102" s="8" t="s">
        <v>299</v>
      </c>
      <c r="B102" s="8" t="s">
        <v>300</v>
      </c>
      <c r="C102" s="8" t="s">
        <v>301</v>
      </c>
      <c r="D102" s="8" t="s">
        <v>866</v>
      </c>
      <c r="E102" s="7" t="s">
        <v>702</v>
      </c>
      <c r="F102" s="23">
        <v>41613</v>
      </c>
    </row>
    <row r="103" spans="1:6" x14ac:dyDescent="0.25">
      <c r="A103" s="8" t="s">
        <v>302</v>
      </c>
      <c r="B103" s="8" t="s">
        <v>252</v>
      </c>
      <c r="C103" s="8" t="s">
        <v>303</v>
      </c>
      <c r="D103" s="8" t="s">
        <v>836</v>
      </c>
      <c r="E103" s="7" t="s">
        <v>706</v>
      </c>
      <c r="F103" s="23">
        <v>41674</v>
      </c>
    </row>
    <row r="104" spans="1:6" x14ac:dyDescent="0.25">
      <c r="A104" s="8" t="s">
        <v>304</v>
      </c>
      <c r="B104" s="8" t="s">
        <v>305</v>
      </c>
      <c r="C104" s="8" t="s">
        <v>306</v>
      </c>
      <c r="D104" s="8" t="s">
        <v>837</v>
      </c>
      <c r="E104" s="7" t="s">
        <v>707</v>
      </c>
      <c r="F104" s="23">
        <v>41638</v>
      </c>
    </row>
    <row r="105" spans="1:6" x14ac:dyDescent="0.25">
      <c r="A105" s="8" t="s">
        <v>307</v>
      </c>
      <c r="B105" s="8" t="s">
        <v>308</v>
      </c>
      <c r="C105" s="8" t="s">
        <v>309</v>
      </c>
      <c r="D105" s="8" t="s">
        <v>838</v>
      </c>
      <c r="E105" s="7" t="s">
        <v>708</v>
      </c>
      <c r="F105" s="23">
        <v>41682</v>
      </c>
    </row>
    <row r="106" spans="1:6" x14ac:dyDescent="0.25">
      <c r="A106" s="8" t="s">
        <v>310</v>
      </c>
      <c r="B106" s="8" t="s">
        <v>203</v>
      </c>
      <c r="C106" s="8" t="s">
        <v>311</v>
      </c>
      <c r="D106" s="8" t="s">
        <v>839</v>
      </c>
      <c r="E106" s="7" t="s">
        <v>709</v>
      </c>
      <c r="F106" s="23">
        <v>41675</v>
      </c>
    </row>
    <row r="107" spans="1:6" x14ac:dyDescent="0.25">
      <c r="A107" s="8" t="s">
        <v>312</v>
      </c>
      <c r="B107" s="8" t="s">
        <v>313</v>
      </c>
      <c r="C107" s="8" t="s">
        <v>314</v>
      </c>
      <c r="D107" s="8" t="s">
        <v>315</v>
      </c>
      <c r="E107" s="7" t="s">
        <v>710</v>
      </c>
      <c r="F107" s="23">
        <v>41618</v>
      </c>
    </row>
    <row r="108" spans="1:6" x14ac:dyDescent="0.25">
      <c r="A108" s="8" t="s">
        <v>316</v>
      </c>
      <c r="B108" s="8" t="s">
        <v>317</v>
      </c>
      <c r="C108" s="8" t="s">
        <v>318</v>
      </c>
      <c r="D108" s="8" t="s">
        <v>319</v>
      </c>
      <c r="E108" s="7" t="s">
        <v>711</v>
      </c>
      <c r="F108" s="23">
        <v>41625</v>
      </c>
    </row>
    <row r="109" spans="1:6" x14ac:dyDescent="0.25">
      <c r="A109" s="8" t="s">
        <v>320</v>
      </c>
      <c r="B109" s="8" t="s">
        <v>321</v>
      </c>
      <c r="C109" s="8" t="s">
        <v>322</v>
      </c>
      <c r="D109" s="8" t="s">
        <v>840</v>
      </c>
      <c r="E109" s="7" t="s">
        <v>712</v>
      </c>
      <c r="F109" s="23">
        <v>41613</v>
      </c>
    </row>
    <row r="110" spans="1:6" x14ac:dyDescent="0.25">
      <c r="A110" s="8" t="s">
        <v>323</v>
      </c>
      <c r="B110" s="8" t="s">
        <v>324</v>
      </c>
      <c r="C110" s="8" t="s">
        <v>325</v>
      </c>
      <c r="D110" s="8" t="s">
        <v>841</v>
      </c>
      <c r="E110" s="7" t="s">
        <v>713</v>
      </c>
      <c r="F110" s="23">
        <v>41634</v>
      </c>
    </row>
    <row r="111" spans="1:6" x14ac:dyDescent="0.25">
      <c r="A111" s="8" t="s">
        <v>326</v>
      </c>
      <c r="B111" s="8" t="s">
        <v>317</v>
      </c>
      <c r="C111" s="8" t="s">
        <v>327</v>
      </c>
      <c r="D111" s="8" t="s">
        <v>842</v>
      </c>
      <c r="E111" s="7" t="s">
        <v>716</v>
      </c>
      <c r="F111" s="23">
        <v>41614</v>
      </c>
    </row>
    <row r="112" spans="1:6" x14ac:dyDescent="0.25">
      <c r="A112" s="8" t="s">
        <v>328</v>
      </c>
      <c r="B112" s="8" t="s">
        <v>329</v>
      </c>
      <c r="C112" s="8" t="s">
        <v>330</v>
      </c>
      <c r="D112" s="8" t="s">
        <v>331</v>
      </c>
      <c r="E112" s="7" t="s">
        <v>717</v>
      </c>
      <c r="F112" s="23">
        <v>41658</v>
      </c>
    </row>
    <row r="113" spans="1:6" x14ac:dyDescent="0.25">
      <c r="A113" s="8" t="s">
        <v>332</v>
      </c>
      <c r="B113" s="8" t="s">
        <v>44</v>
      </c>
      <c r="C113" s="8" t="s">
        <v>333</v>
      </c>
      <c r="D113" s="8" t="s">
        <v>867</v>
      </c>
      <c r="E113" s="7" t="s">
        <v>718</v>
      </c>
      <c r="F113" s="23">
        <v>41640</v>
      </c>
    </row>
    <row r="114" spans="1:6" x14ac:dyDescent="0.25">
      <c r="A114" s="8" t="s">
        <v>334</v>
      </c>
      <c r="B114" s="8" t="s">
        <v>335</v>
      </c>
      <c r="C114" s="8" t="s">
        <v>336</v>
      </c>
      <c r="D114" s="8" t="s">
        <v>843</v>
      </c>
      <c r="E114" s="7" t="s">
        <v>715</v>
      </c>
      <c r="F114" s="23">
        <v>41642</v>
      </c>
    </row>
    <row r="115" spans="1:6" x14ac:dyDescent="0.25">
      <c r="A115" s="8" t="s">
        <v>337</v>
      </c>
      <c r="B115" s="8" t="s">
        <v>338</v>
      </c>
      <c r="C115" s="8" t="s">
        <v>339</v>
      </c>
      <c r="D115" s="8" t="s">
        <v>844</v>
      </c>
      <c r="E115" s="7" t="s">
        <v>719</v>
      </c>
      <c r="F115" s="23">
        <v>41690</v>
      </c>
    </row>
    <row r="116" spans="1:6" x14ac:dyDescent="0.25">
      <c r="A116" s="8" t="s">
        <v>340</v>
      </c>
      <c r="B116" s="8" t="s">
        <v>4</v>
      </c>
      <c r="C116" s="8" t="s">
        <v>341</v>
      </c>
      <c r="D116" s="8" t="s">
        <v>845</v>
      </c>
      <c r="E116" s="7" t="s">
        <v>720</v>
      </c>
      <c r="F116" s="23">
        <v>41628</v>
      </c>
    </row>
    <row r="117" spans="1:6" x14ac:dyDescent="0.25">
      <c r="A117" s="8" t="s">
        <v>222</v>
      </c>
      <c r="B117" s="8" t="s">
        <v>342</v>
      </c>
      <c r="C117" s="8" t="s">
        <v>343</v>
      </c>
      <c r="D117" s="8" t="s">
        <v>846</v>
      </c>
      <c r="E117" s="7" t="s">
        <v>721</v>
      </c>
      <c r="F117" s="23">
        <v>41618</v>
      </c>
    </row>
    <row r="118" spans="1:6" x14ac:dyDescent="0.25">
      <c r="A118" s="8" t="s">
        <v>332</v>
      </c>
      <c r="B118" s="8" t="s">
        <v>344</v>
      </c>
      <c r="C118" s="8" t="s">
        <v>345</v>
      </c>
      <c r="D118" s="8" t="s">
        <v>346</v>
      </c>
      <c r="E118" s="7" t="s">
        <v>722</v>
      </c>
      <c r="F118" s="23">
        <v>41641</v>
      </c>
    </row>
    <row r="119" spans="1:6" x14ac:dyDescent="0.25">
      <c r="A119" s="8" t="s">
        <v>347</v>
      </c>
      <c r="B119" s="8" t="s">
        <v>348</v>
      </c>
      <c r="C119" s="8" t="s">
        <v>349</v>
      </c>
      <c r="D119" s="8" t="s">
        <v>350</v>
      </c>
      <c r="E119" s="7" t="s">
        <v>723</v>
      </c>
      <c r="F119" s="23">
        <v>41664</v>
      </c>
    </row>
    <row r="120" spans="1:6" x14ac:dyDescent="0.25">
      <c r="A120" s="8" t="s">
        <v>351</v>
      </c>
      <c r="B120" s="8" t="s">
        <v>352</v>
      </c>
      <c r="C120" s="8" t="s">
        <v>353</v>
      </c>
      <c r="D120" s="8" t="s">
        <v>847</v>
      </c>
      <c r="E120" s="7" t="s">
        <v>724</v>
      </c>
      <c r="F120" s="23">
        <v>41693</v>
      </c>
    </row>
    <row r="121" spans="1:6" x14ac:dyDescent="0.25">
      <c r="A121" s="8" t="s">
        <v>354</v>
      </c>
      <c r="B121" s="8" t="s">
        <v>265</v>
      </c>
      <c r="C121" s="8" t="s">
        <v>355</v>
      </c>
      <c r="D121" s="8" t="s">
        <v>848</v>
      </c>
      <c r="E121" s="7" t="s">
        <v>725</v>
      </c>
      <c r="F121" s="23">
        <v>41637</v>
      </c>
    </row>
    <row r="122" spans="1:6" x14ac:dyDescent="0.25">
      <c r="A122" s="8" t="s">
        <v>356</v>
      </c>
      <c r="B122" s="8" t="s">
        <v>249</v>
      </c>
      <c r="C122" s="8" t="s">
        <v>357</v>
      </c>
      <c r="D122" s="8" t="s">
        <v>882</v>
      </c>
      <c r="E122" s="7" t="s">
        <v>726</v>
      </c>
      <c r="F122" s="23">
        <v>41622</v>
      </c>
    </row>
    <row r="123" spans="1:6" x14ac:dyDescent="0.25">
      <c r="A123" s="8" t="s">
        <v>111</v>
      </c>
      <c r="B123" s="8" t="s">
        <v>358</v>
      </c>
      <c r="C123" s="8" t="s">
        <v>359</v>
      </c>
      <c r="D123" s="8" t="s">
        <v>901</v>
      </c>
      <c r="E123" s="7" t="s">
        <v>727</v>
      </c>
      <c r="F123" s="23">
        <v>41620</v>
      </c>
    </row>
    <row r="124" spans="1:6" x14ac:dyDescent="0.25">
      <c r="A124" s="8" t="s">
        <v>360</v>
      </c>
      <c r="B124" s="8" t="s">
        <v>361</v>
      </c>
      <c r="C124" s="8" t="s">
        <v>362</v>
      </c>
      <c r="D124" s="8" t="s">
        <v>902</v>
      </c>
      <c r="E124" s="7" t="s">
        <v>728</v>
      </c>
      <c r="F124" s="23">
        <v>41672</v>
      </c>
    </row>
    <row r="125" spans="1:6" x14ac:dyDescent="0.25">
      <c r="A125" s="8" t="s">
        <v>363</v>
      </c>
      <c r="B125" s="8" t="s">
        <v>364</v>
      </c>
      <c r="C125" s="8" t="s">
        <v>365</v>
      </c>
      <c r="D125" s="8" t="s">
        <v>849</v>
      </c>
      <c r="E125" s="7" t="s">
        <v>729</v>
      </c>
      <c r="F125" s="23">
        <v>41608</v>
      </c>
    </row>
    <row r="126" spans="1:6" x14ac:dyDescent="0.25">
      <c r="A126" s="8" t="s">
        <v>366</v>
      </c>
      <c r="B126" s="8" t="s">
        <v>367</v>
      </c>
      <c r="C126" s="8" t="s">
        <v>368</v>
      </c>
      <c r="D126" s="8" t="s">
        <v>850</v>
      </c>
      <c r="E126" s="7" t="s">
        <v>730</v>
      </c>
      <c r="F126" s="23">
        <v>41677</v>
      </c>
    </row>
    <row r="127" spans="1:6" x14ac:dyDescent="0.25">
      <c r="A127" s="8" t="s">
        <v>369</v>
      </c>
      <c r="B127" s="8" t="s">
        <v>370</v>
      </c>
      <c r="C127" s="8" t="s">
        <v>371</v>
      </c>
      <c r="D127" s="8" t="s">
        <v>851</v>
      </c>
      <c r="E127" s="7" t="s">
        <v>732</v>
      </c>
      <c r="F127" s="23">
        <v>41680</v>
      </c>
    </row>
    <row r="128" spans="1:6" x14ac:dyDescent="0.25">
      <c r="A128" s="8" t="s">
        <v>372</v>
      </c>
      <c r="B128" s="8" t="s">
        <v>373</v>
      </c>
      <c r="C128" s="8" t="s">
        <v>374</v>
      </c>
      <c r="D128" s="8" t="s">
        <v>903</v>
      </c>
      <c r="E128" s="7" t="s">
        <v>733</v>
      </c>
      <c r="F128" s="23">
        <v>41644</v>
      </c>
    </row>
    <row r="129" spans="1:6" x14ac:dyDescent="0.25">
      <c r="A129" s="8" t="s">
        <v>375</v>
      </c>
      <c r="B129" s="8" t="s">
        <v>376</v>
      </c>
      <c r="C129" s="8" t="s">
        <v>377</v>
      </c>
      <c r="D129" s="8" t="s">
        <v>852</v>
      </c>
      <c r="E129" s="7" t="s">
        <v>737</v>
      </c>
      <c r="F129" s="23">
        <v>41644</v>
      </c>
    </row>
    <row r="130" spans="1:6" x14ac:dyDescent="0.25">
      <c r="A130" s="8" t="s">
        <v>276</v>
      </c>
      <c r="B130" s="8" t="s">
        <v>378</v>
      </c>
      <c r="C130" s="8" t="s">
        <v>379</v>
      </c>
      <c r="D130" s="8" t="s">
        <v>868</v>
      </c>
      <c r="E130" s="7" t="s">
        <v>738</v>
      </c>
      <c r="F130" s="23">
        <v>41621</v>
      </c>
    </row>
    <row r="131" spans="1:6" x14ac:dyDescent="0.25">
      <c r="A131" s="8" t="s">
        <v>380</v>
      </c>
      <c r="B131" s="8" t="s">
        <v>381</v>
      </c>
      <c r="C131" s="8" t="s">
        <v>382</v>
      </c>
      <c r="D131" s="8" t="s">
        <v>883</v>
      </c>
      <c r="E131" s="7" t="s">
        <v>734</v>
      </c>
      <c r="F131" s="23">
        <v>41620</v>
      </c>
    </row>
    <row r="132" spans="1:6" x14ac:dyDescent="0.25">
      <c r="A132" s="8" t="s">
        <v>383</v>
      </c>
      <c r="B132" s="8" t="s">
        <v>163</v>
      </c>
      <c r="C132" s="8" t="s">
        <v>384</v>
      </c>
      <c r="D132" s="8" t="s">
        <v>853</v>
      </c>
      <c r="E132" s="7" t="s">
        <v>735</v>
      </c>
      <c r="F132" s="23">
        <v>41645</v>
      </c>
    </row>
    <row r="133" spans="1:6" x14ac:dyDescent="0.25">
      <c r="A133" s="8" t="s">
        <v>385</v>
      </c>
      <c r="B133" s="8" t="s">
        <v>386</v>
      </c>
      <c r="C133" s="8" t="s">
        <v>387</v>
      </c>
      <c r="D133" s="8" t="s">
        <v>854</v>
      </c>
      <c r="E133" s="7" t="s">
        <v>736</v>
      </c>
      <c r="F133" s="23">
        <v>41668</v>
      </c>
    </row>
    <row r="134" spans="1:6" x14ac:dyDescent="0.25">
      <c r="A134" s="8" t="s">
        <v>388</v>
      </c>
      <c r="B134" s="8" t="s">
        <v>389</v>
      </c>
      <c r="C134" s="8" t="s">
        <v>390</v>
      </c>
      <c r="D134" s="8" t="s">
        <v>855</v>
      </c>
      <c r="E134" s="7" t="s">
        <v>739</v>
      </c>
      <c r="F134" s="23">
        <v>41670</v>
      </c>
    </row>
    <row r="135" spans="1:6" x14ac:dyDescent="0.25">
      <c r="A135" s="8" t="s">
        <v>391</v>
      </c>
      <c r="B135" s="8" t="s">
        <v>109</v>
      </c>
      <c r="C135" s="8" t="s">
        <v>392</v>
      </c>
      <c r="D135" s="8" t="s">
        <v>907</v>
      </c>
      <c r="E135" s="7" t="s">
        <v>740</v>
      </c>
      <c r="F135" s="23">
        <v>41687</v>
      </c>
    </row>
    <row r="136" spans="1:6" x14ac:dyDescent="0.25">
      <c r="A136" s="8" t="s">
        <v>393</v>
      </c>
      <c r="B136" s="8" t="s">
        <v>394</v>
      </c>
      <c r="C136" s="8" t="s">
        <v>395</v>
      </c>
      <c r="D136" s="8" t="s">
        <v>908</v>
      </c>
      <c r="E136" s="7" t="s">
        <v>741</v>
      </c>
      <c r="F136" s="23">
        <v>41697</v>
      </c>
    </row>
    <row r="137" spans="1:6" x14ac:dyDescent="0.25">
      <c r="A137" s="8" t="s">
        <v>396</v>
      </c>
      <c r="B137" s="8" t="s">
        <v>397</v>
      </c>
      <c r="C137" s="8" t="s">
        <v>398</v>
      </c>
      <c r="D137" s="8" t="s">
        <v>909</v>
      </c>
      <c r="E137" s="7" t="s">
        <v>742</v>
      </c>
      <c r="F137" s="23">
        <v>41678</v>
      </c>
    </row>
    <row r="138" spans="1:6" x14ac:dyDescent="0.25">
      <c r="A138" s="8" t="s">
        <v>399</v>
      </c>
      <c r="B138" s="8" t="s">
        <v>400</v>
      </c>
      <c r="C138" s="8" t="s">
        <v>401</v>
      </c>
      <c r="D138" s="8" t="s">
        <v>910</v>
      </c>
      <c r="E138" s="7" t="s">
        <v>743</v>
      </c>
      <c r="F138" s="23">
        <v>41678</v>
      </c>
    </row>
    <row r="139" spans="1:6" x14ac:dyDescent="0.25">
      <c r="A139" s="8" t="s">
        <v>402</v>
      </c>
      <c r="B139" s="8" t="s">
        <v>403</v>
      </c>
      <c r="C139" s="8" t="s">
        <v>404</v>
      </c>
      <c r="D139" s="8" t="s">
        <v>911</v>
      </c>
      <c r="E139" s="7" t="s">
        <v>744</v>
      </c>
      <c r="F139" s="23">
        <v>41626</v>
      </c>
    </row>
    <row r="140" spans="1:6" x14ac:dyDescent="0.25">
      <c r="A140" s="8" t="s">
        <v>405</v>
      </c>
      <c r="B140" s="8" t="s">
        <v>406</v>
      </c>
      <c r="C140" s="8" t="s">
        <v>407</v>
      </c>
      <c r="D140" s="8" t="s">
        <v>912</v>
      </c>
      <c r="E140" s="7" t="s">
        <v>745</v>
      </c>
      <c r="F140" s="23">
        <v>41637</v>
      </c>
    </row>
    <row r="141" spans="1:6" x14ac:dyDescent="0.25">
      <c r="A141" s="8" t="s">
        <v>408</v>
      </c>
      <c r="B141" s="8" t="s">
        <v>409</v>
      </c>
      <c r="C141" s="8" t="s">
        <v>410</v>
      </c>
      <c r="D141" s="8" t="s">
        <v>913</v>
      </c>
      <c r="E141" s="7" t="s">
        <v>700</v>
      </c>
      <c r="F141" s="23">
        <v>41673</v>
      </c>
    </row>
    <row r="142" spans="1:6" x14ac:dyDescent="0.25">
      <c r="A142" s="8" t="s">
        <v>411</v>
      </c>
      <c r="B142" s="8" t="s">
        <v>412</v>
      </c>
      <c r="C142" s="8" t="s">
        <v>413</v>
      </c>
      <c r="D142" s="8" t="s">
        <v>414</v>
      </c>
      <c r="E142" s="7" t="s">
        <v>746</v>
      </c>
      <c r="F142" s="23">
        <v>41632</v>
      </c>
    </row>
    <row r="143" spans="1:6" x14ac:dyDescent="0.25">
      <c r="A143" s="8" t="s">
        <v>415</v>
      </c>
      <c r="B143" s="8" t="s">
        <v>416</v>
      </c>
      <c r="C143" s="8" t="s">
        <v>417</v>
      </c>
      <c r="D143" s="8" t="s">
        <v>914</v>
      </c>
      <c r="E143" s="7" t="s">
        <v>747</v>
      </c>
      <c r="F143" s="23">
        <v>41641</v>
      </c>
    </row>
    <row r="144" spans="1:6" x14ac:dyDescent="0.25">
      <c r="A144" s="8" t="s">
        <v>418</v>
      </c>
      <c r="B144" s="8" t="s">
        <v>419</v>
      </c>
      <c r="C144" s="8" t="s">
        <v>420</v>
      </c>
      <c r="D144" s="8" t="s">
        <v>869</v>
      </c>
      <c r="E144" s="7" t="s">
        <v>705</v>
      </c>
      <c r="F144" s="23">
        <v>41610</v>
      </c>
    </row>
    <row r="145" spans="1:6" x14ac:dyDescent="0.25">
      <c r="A145" s="8" t="s">
        <v>421</v>
      </c>
      <c r="B145" s="8" t="s">
        <v>422</v>
      </c>
      <c r="C145" s="8" t="s">
        <v>423</v>
      </c>
      <c r="D145" s="8" t="s">
        <v>915</v>
      </c>
      <c r="E145" s="7" t="s">
        <v>748</v>
      </c>
      <c r="F145" s="23">
        <v>41608</v>
      </c>
    </row>
    <row r="146" spans="1:6" x14ac:dyDescent="0.25">
      <c r="A146" s="8" t="s">
        <v>424</v>
      </c>
      <c r="B146" s="8" t="s">
        <v>425</v>
      </c>
      <c r="C146" s="8" t="s">
        <v>426</v>
      </c>
      <c r="D146" s="8" t="s">
        <v>427</v>
      </c>
      <c r="E146" s="7" t="s">
        <v>749</v>
      </c>
      <c r="F146" s="23">
        <v>41609</v>
      </c>
    </row>
    <row r="147" spans="1:6" x14ac:dyDescent="0.25">
      <c r="A147" s="8" t="s">
        <v>428</v>
      </c>
      <c r="B147" s="8" t="s">
        <v>429</v>
      </c>
      <c r="C147" s="8" t="s">
        <v>430</v>
      </c>
      <c r="D147" s="8" t="s">
        <v>916</v>
      </c>
      <c r="E147" s="7" t="s">
        <v>750</v>
      </c>
      <c r="F147" s="23">
        <v>41652</v>
      </c>
    </row>
    <row r="148" spans="1:6" x14ac:dyDescent="0.25">
      <c r="A148" s="8" t="s">
        <v>323</v>
      </c>
      <c r="B148" s="8" t="s">
        <v>431</v>
      </c>
      <c r="C148" s="8" t="s">
        <v>432</v>
      </c>
      <c r="D148" s="8" t="s">
        <v>917</v>
      </c>
      <c r="E148" s="7" t="s">
        <v>751</v>
      </c>
      <c r="F148" s="23">
        <v>41690</v>
      </c>
    </row>
    <row r="149" spans="1:6" x14ac:dyDescent="0.25">
      <c r="A149" s="8" t="s">
        <v>433</v>
      </c>
      <c r="B149" s="8" t="s">
        <v>434</v>
      </c>
      <c r="C149" s="8" t="s">
        <v>435</v>
      </c>
      <c r="D149" s="8" t="s">
        <v>960</v>
      </c>
      <c r="E149" s="7" t="s">
        <v>752</v>
      </c>
      <c r="F149" s="23">
        <v>41651</v>
      </c>
    </row>
    <row r="150" spans="1:6" x14ac:dyDescent="0.25">
      <c r="A150" s="8" t="s">
        <v>436</v>
      </c>
      <c r="B150" s="8" t="s">
        <v>437</v>
      </c>
      <c r="C150" s="8" t="s">
        <v>438</v>
      </c>
      <c r="D150" s="8" t="s">
        <v>953</v>
      </c>
      <c r="E150" s="7" t="s">
        <v>753</v>
      </c>
      <c r="F150" s="23">
        <v>41689</v>
      </c>
    </row>
    <row r="151" spans="1:6" x14ac:dyDescent="0.25">
      <c r="A151" s="8" t="s">
        <v>439</v>
      </c>
      <c r="B151" s="8" t="s">
        <v>440</v>
      </c>
      <c r="C151" s="8" t="s">
        <v>441</v>
      </c>
      <c r="D151" s="8" t="s">
        <v>954</v>
      </c>
      <c r="E151" s="7" t="s">
        <v>755</v>
      </c>
      <c r="F151" s="23">
        <v>41694</v>
      </c>
    </row>
    <row r="152" spans="1:6" x14ac:dyDescent="0.25">
      <c r="A152" s="8" t="s">
        <v>442</v>
      </c>
      <c r="B152" s="8" t="s">
        <v>443</v>
      </c>
      <c r="C152" s="8" t="s">
        <v>444</v>
      </c>
      <c r="D152" s="8" t="s">
        <v>955</v>
      </c>
      <c r="E152" s="7" t="s">
        <v>756</v>
      </c>
      <c r="F152" s="23">
        <v>41637</v>
      </c>
    </row>
    <row r="153" spans="1:6" x14ac:dyDescent="0.25">
      <c r="A153" s="8" t="s">
        <v>445</v>
      </c>
      <c r="B153" s="8" t="s">
        <v>446</v>
      </c>
      <c r="C153" s="8" t="s">
        <v>447</v>
      </c>
      <c r="D153" s="8" t="s">
        <v>956</v>
      </c>
      <c r="E153" s="7" t="s">
        <v>757</v>
      </c>
      <c r="F153" s="23">
        <v>41635</v>
      </c>
    </row>
    <row r="154" spans="1:6" x14ac:dyDescent="0.25">
      <c r="A154" s="8" t="s">
        <v>448</v>
      </c>
      <c r="B154" s="8" t="s">
        <v>449</v>
      </c>
      <c r="C154" s="8" t="s">
        <v>450</v>
      </c>
      <c r="D154" s="8" t="s">
        <v>957</v>
      </c>
      <c r="E154" s="7" t="s">
        <v>759</v>
      </c>
      <c r="F154" s="23">
        <v>41625</v>
      </c>
    </row>
    <row r="155" spans="1:6" x14ac:dyDescent="0.25">
      <c r="A155" s="8" t="s">
        <v>451</v>
      </c>
      <c r="B155" s="8" t="s">
        <v>452</v>
      </c>
      <c r="C155" s="8" t="s">
        <v>453</v>
      </c>
      <c r="D155" s="8" t="s">
        <v>958</v>
      </c>
      <c r="E155" s="7" t="s">
        <v>760</v>
      </c>
      <c r="F155" s="23">
        <v>41656</v>
      </c>
    </row>
    <row r="156" spans="1:6" x14ac:dyDescent="0.25">
      <c r="A156" s="8" t="s">
        <v>454</v>
      </c>
      <c r="B156" s="8" t="s">
        <v>172</v>
      </c>
      <c r="C156" s="8" t="s">
        <v>455</v>
      </c>
      <c r="D156" s="8" t="s">
        <v>959</v>
      </c>
      <c r="E156" s="7" t="s">
        <v>761</v>
      </c>
      <c r="F156" s="23">
        <v>41687</v>
      </c>
    </row>
    <row r="157" spans="1:6" x14ac:dyDescent="0.25">
      <c r="A157" s="8" t="s">
        <v>456</v>
      </c>
      <c r="B157" s="8" t="s">
        <v>457</v>
      </c>
      <c r="C157" s="8" t="s">
        <v>458</v>
      </c>
      <c r="D157" s="8" t="s">
        <v>948</v>
      </c>
      <c r="E157" s="7" t="s">
        <v>762</v>
      </c>
      <c r="F157" s="23">
        <v>41665</v>
      </c>
    </row>
    <row r="158" spans="1:6" x14ac:dyDescent="0.25">
      <c r="A158" s="8" t="s">
        <v>459</v>
      </c>
      <c r="B158" s="8" t="s">
        <v>460</v>
      </c>
      <c r="C158" s="8" t="s">
        <v>461</v>
      </c>
      <c r="D158" s="8" t="s">
        <v>947</v>
      </c>
      <c r="E158" s="7" t="s">
        <v>764</v>
      </c>
      <c r="F158" s="23">
        <v>41692</v>
      </c>
    </row>
    <row r="159" spans="1:6" x14ac:dyDescent="0.25">
      <c r="A159" s="8" t="s">
        <v>462</v>
      </c>
      <c r="B159" s="8" t="s">
        <v>463</v>
      </c>
      <c r="C159" s="8" t="s">
        <v>464</v>
      </c>
      <c r="D159" s="8" t="s">
        <v>949</v>
      </c>
      <c r="E159" s="7" t="s">
        <v>765</v>
      </c>
      <c r="F159" s="23">
        <v>41692</v>
      </c>
    </row>
    <row r="160" spans="1:6" x14ac:dyDescent="0.25">
      <c r="A160" s="8" t="s">
        <v>465</v>
      </c>
      <c r="B160" s="8" t="s">
        <v>466</v>
      </c>
      <c r="C160" s="8" t="s">
        <v>467</v>
      </c>
      <c r="D160" s="8" t="s">
        <v>950</v>
      </c>
      <c r="E160" s="7" t="s">
        <v>766</v>
      </c>
      <c r="F160" s="23">
        <v>41683</v>
      </c>
    </row>
    <row r="161" spans="1:6" x14ac:dyDescent="0.25">
      <c r="A161" s="8" t="s">
        <v>468</v>
      </c>
      <c r="B161" s="8" t="s">
        <v>469</v>
      </c>
      <c r="C161" s="8" t="s">
        <v>470</v>
      </c>
      <c r="D161" s="8" t="s">
        <v>951</v>
      </c>
      <c r="E161" s="7" t="s">
        <v>767</v>
      </c>
      <c r="F161" s="23">
        <v>41620</v>
      </c>
    </row>
    <row r="162" spans="1:6" x14ac:dyDescent="0.25">
      <c r="A162" s="8" t="s">
        <v>471</v>
      </c>
      <c r="B162" s="8" t="s">
        <v>472</v>
      </c>
      <c r="C162" s="8" t="s">
        <v>473</v>
      </c>
      <c r="D162" s="8" t="s">
        <v>952</v>
      </c>
      <c r="E162" s="7" t="s">
        <v>768</v>
      </c>
      <c r="F162" s="23">
        <v>41699</v>
      </c>
    </row>
    <row r="163" spans="1:6" x14ac:dyDescent="0.25">
      <c r="A163" s="8" t="s">
        <v>474</v>
      </c>
      <c r="B163" s="8" t="s">
        <v>475</v>
      </c>
      <c r="C163" s="8" t="s">
        <v>476</v>
      </c>
      <c r="D163" s="8" t="s">
        <v>946</v>
      </c>
      <c r="E163" s="7" t="s">
        <v>769</v>
      </c>
      <c r="F163" s="23">
        <v>41666</v>
      </c>
    </row>
    <row r="164" spans="1:6" x14ac:dyDescent="0.25">
      <c r="A164" s="8" t="s">
        <v>477</v>
      </c>
      <c r="B164" s="8" t="s">
        <v>478</v>
      </c>
      <c r="C164" s="8" t="s">
        <v>479</v>
      </c>
      <c r="D164" s="8" t="s">
        <v>945</v>
      </c>
      <c r="E164" s="7" t="s">
        <v>773</v>
      </c>
      <c r="F164" s="23">
        <v>41663</v>
      </c>
    </row>
    <row r="165" spans="1:6" x14ac:dyDescent="0.25">
      <c r="A165" s="8" t="s">
        <v>480</v>
      </c>
      <c r="B165" s="8" t="s">
        <v>481</v>
      </c>
      <c r="C165" s="8" t="s">
        <v>482</v>
      </c>
      <c r="D165" s="8" t="s">
        <v>944</v>
      </c>
      <c r="E165" s="7" t="s">
        <v>774</v>
      </c>
      <c r="F165" s="23">
        <v>41616</v>
      </c>
    </row>
    <row r="166" spans="1:6" x14ac:dyDescent="0.25">
      <c r="A166" s="8" t="s">
        <v>483</v>
      </c>
      <c r="B166" s="8" t="s">
        <v>484</v>
      </c>
      <c r="C166" s="8" t="s">
        <v>485</v>
      </c>
      <c r="D166" s="8" t="s">
        <v>943</v>
      </c>
      <c r="E166" s="7" t="s">
        <v>770</v>
      </c>
      <c r="F166" s="23">
        <v>41640</v>
      </c>
    </row>
    <row r="167" spans="1:6" x14ac:dyDescent="0.25">
      <c r="A167" s="8" t="s">
        <v>486</v>
      </c>
      <c r="B167" s="8" t="s">
        <v>166</v>
      </c>
      <c r="C167" s="8" t="s">
        <v>487</v>
      </c>
      <c r="D167" s="8" t="s">
        <v>942</v>
      </c>
      <c r="E167" s="7" t="s">
        <v>775</v>
      </c>
      <c r="F167" s="23">
        <v>41686</v>
      </c>
    </row>
    <row r="168" spans="1:6" x14ac:dyDescent="0.25">
      <c r="A168" s="8" t="s">
        <v>488</v>
      </c>
      <c r="B168" s="8" t="s">
        <v>489</v>
      </c>
      <c r="C168" s="8" t="s">
        <v>490</v>
      </c>
      <c r="D168" s="8" t="s">
        <v>941</v>
      </c>
      <c r="E168" s="7" t="s">
        <v>776</v>
      </c>
      <c r="F168" s="23">
        <v>41685</v>
      </c>
    </row>
    <row r="169" spans="1:6" x14ac:dyDescent="0.25">
      <c r="A169" s="8" t="s">
        <v>491</v>
      </c>
      <c r="B169" s="8" t="s">
        <v>492</v>
      </c>
      <c r="C169" s="8" t="s">
        <v>493</v>
      </c>
      <c r="D169" s="8" t="s">
        <v>494</v>
      </c>
      <c r="E169" s="7" t="s">
        <v>771</v>
      </c>
      <c r="F169" s="23">
        <v>41624</v>
      </c>
    </row>
    <row r="170" spans="1:6" x14ac:dyDescent="0.25">
      <c r="A170" s="8" t="s">
        <v>495</v>
      </c>
      <c r="B170" s="8" t="s">
        <v>496</v>
      </c>
      <c r="C170" s="8" t="s">
        <v>497</v>
      </c>
      <c r="D170" s="8" t="s">
        <v>940</v>
      </c>
      <c r="E170" s="7" t="s">
        <v>772</v>
      </c>
      <c r="F170" s="23">
        <v>41630</v>
      </c>
    </row>
    <row r="171" spans="1:6" x14ac:dyDescent="0.25">
      <c r="A171" s="8" t="s">
        <v>372</v>
      </c>
      <c r="B171" s="8" t="s">
        <v>106</v>
      </c>
      <c r="C171" s="8" t="s">
        <v>498</v>
      </c>
      <c r="D171" s="8" t="s">
        <v>884</v>
      </c>
      <c r="E171" s="7" t="s">
        <v>777</v>
      </c>
      <c r="F171" s="23">
        <v>41681</v>
      </c>
    </row>
    <row r="172" spans="1:6" x14ac:dyDescent="0.25">
      <c r="A172" s="8" t="s">
        <v>499</v>
      </c>
      <c r="B172" s="8" t="s">
        <v>500</v>
      </c>
      <c r="C172" s="8" t="s">
        <v>501</v>
      </c>
      <c r="D172" s="8" t="s">
        <v>502</v>
      </c>
      <c r="E172" s="7" t="s">
        <v>778</v>
      </c>
      <c r="F172" s="23">
        <v>41656</v>
      </c>
    </row>
    <row r="173" spans="1:6" x14ac:dyDescent="0.25">
      <c r="A173" s="8" t="s">
        <v>503</v>
      </c>
      <c r="B173" s="8" t="s">
        <v>504</v>
      </c>
      <c r="C173" s="8" t="s">
        <v>505</v>
      </c>
      <c r="D173" s="8" t="s">
        <v>935</v>
      </c>
      <c r="E173" s="7" t="s">
        <v>780</v>
      </c>
      <c r="F173" s="23">
        <v>41668</v>
      </c>
    </row>
    <row r="174" spans="1:6" x14ac:dyDescent="0.25">
      <c r="A174" s="8" t="s">
        <v>506</v>
      </c>
      <c r="B174" s="8" t="s">
        <v>507</v>
      </c>
      <c r="C174" s="8" t="s">
        <v>508</v>
      </c>
      <c r="D174" s="8" t="s">
        <v>509</v>
      </c>
      <c r="E174" s="7" t="s">
        <v>781</v>
      </c>
      <c r="F174" s="23">
        <v>41666</v>
      </c>
    </row>
    <row r="175" spans="1:6" x14ac:dyDescent="0.25">
      <c r="A175" s="8" t="s">
        <v>510</v>
      </c>
      <c r="B175" s="8" t="s">
        <v>511</v>
      </c>
      <c r="C175" s="8" t="s">
        <v>512</v>
      </c>
      <c r="D175" s="8" t="s">
        <v>513</v>
      </c>
      <c r="E175" s="7" t="s">
        <v>782</v>
      </c>
      <c r="F175" s="23">
        <v>41665</v>
      </c>
    </row>
    <row r="176" spans="1:6" x14ac:dyDescent="0.25">
      <c r="A176" s="8" t="s">
        <v>514</v>
      </c>
      <c r="B176" s="8" t="s">
        <v>406</v>
      </c>
      <c r="C176" s="8" t="s">
        <v>515</v>
      </c>
      <c r="D176" s="8" t="s">
        <v>516</v>
      </c>
      <c r="E176" s="7" t="s">
        <v>783</v>
      </c>
      <c r="F176" s="23">
        <v>41608</v>
      </c>
    </row>
    <row r="177" spans="1:6" x14ac:dyDescent="0.25">
      <c r="A177" s="8" t="s">
        <v>517</v>
      </c>
      <c r="B177" s="8" t="s">
        <v>518</v>
      </c>
      <c r="C177" s="8" t="s">
        <v>519</v>
      </c>
      <c r="D177" s="8" t="s">
        <v>936</v>
      </c>
      <c r="E177" s="7" t="s">
        <v>784</v>
      </c>
      <c r="F177" s="23">
        <v>41688</v>
      </c>
    </row>
    <row r="178" spans="1:6" x14ac:dyDescent="0.25">
      <c r="A178" s="8" t="s">
        <v>520</v>
      </c>
      <c r="B178" s="8" t="s">
        <v>521</v>
      </c>
      <c r="C178" s="8" t="s">
        <v>522</v>
      </c>
      <c r="D178" s="8" t="s">
        <v>937</v>
      </c>
      <c r="E178" s="7" t="s">
        <v>785</v>
      </c>
      <c r="F178" s="23">
        <v>41609</v>
      </c>
    </row>
    <row r="179" spans="1:6" x14ac:dyDescent="0.25">
      <c r="A179" s="8" t="s">
        <v>523</v>
      </c>
      <c r="B179" s="8" t="s">
        <v>524</v>
      </c>
      <c r="C179" s="8" t="s">
        <v>525</v>
      </c>
      <c r="D179" s="8" t="s">
        <v>934</v>
      </c>
      <c r="E179" s="7" t="s">
        <v>786</v>
      </c>
      <c r="F179" s="23">
        <v>41621</v>
      </c>
    </row>
    <row r="180" spans="1:6" x14ac:dyDescent="0.25">
      <c r="A180" s="8" t="s">
        <v>526</v>
      </c>
      <c r="B180" s="8" t="s">
        <v>338</v>
      </c>
      <c r="C180" s="8" t="s">
        <v>527</v>
      </c>
      <c r="D180" s="8" t="s">
        <v>938</v>
      </c>
      <c r="E180" s="7" t="s">
        <v>787</v>
      </c>
      <c r="F180" s="23">
        <v>41634</v>
      </c>
    </row>
    <row r="181" spans="1:6" x14ac:dyDescent="0.25">
      <c r="A181" s="8" t="s">
        <v>528</v>
      </c>
      <c r="B181" s="8" t="s">
        <v>529</v>
      </c>
      <c r="C181" s="8" t="s">
        <v>530</v>
      </c>
      <c r="D181" s="8" t="s">
        <v>939</v>
      </c>
      <c r="E181" s="7" t="s">
        <v>592</v>
      </c>
      <c r="F181" s="23">
        <v>41648</v>
      </c>
    </row>
    <row r="182" spans="1:6" x14ac:dyDescent="0.25">
      <c r="A182" s="8" t="s">
        <v>73</v>
      </c>
      <c r="B182" s="8" t="s">
        <v>531</v>
      </c>
      <c r="C182" s="8" t="s">
        <v>532</v>
      </c>
      <c r="D182" s="8" t="s">
        <v>933</v>
      </c>
      <c r="E182" s="7" t="s">
        <v>625</v>
      </c>
      <c r="F182" s="23">
        <v>41613</v>
      </c>
    </row>
    <row r="183" spans="1:6" x14ac:dyDescent="0.25">
      <c r="A183" s="8" t="s">
        <v>533</v>
      </c>
      <c r="B183" s="8" t="s">
        <v>223</v>
      </c>
      <c r="C183" s="8" t="s">
        <v>534</v>
      </c>
      <c r="D183" s="8" t="s">
        <v>535</v>
      </c>
      <c r="E183" s="7" t="s">
        <v>593</v>
      </c>
      <c r="F183" s="23">
        <v>41613</v>
      </c>
    </row>
    <row r="184" spans="1:6" x14ac:dyDescent="0.25">
      <c r="A184" s="8" t="s">
        <v>536</v>
      </c>
      <c r="B184" s="8" t="s">
        <v>537</v>
      </c>
      <c r="C184" s="8" t="s">
        <v>538</v>
      </c>
      <c r="D184" s="8" t="s">
        <v>539</v>
      </c>
      <c r="E184" s="7" t="s">
        <v>594</v>
      </c>
      <c r="F184" s="23">
        <v>41655</v>
      </c>
    </row>
    <row r="185" spans="1:6" x14ac:dyDescent="0.25">
      <c r="A185" s="8" t="s">
        <v>540</v>
      </c>
      <c r="B185" s="8" t="s">
        <v>541</v>
      </c>
      <c r="C185" s="8" t="s">
        <v>542</v>
      </c>
      <c r="D185" s="8" t="s">
        <v>543</v>
      </c>
      <c r="E185" s="7" t="s">
        <v>595</v>
      </c>
      <c r="F185" s="23">
        <v>41696</v>
      </c>
    </row>
    <row r="186" spans="1:6" x14ac:dyDescent="0.25">
      <c r="A186" s="8" t="s">
        <v>544</v>
      </c>
      <c r="B186" s="8" t="s">
        <v>545</v>
      </c>
      <c r="C186" s="8" t="s">
        <v>546</v>
      </c>
      <c r="D186" s="8" t="s">
        <v>928</v>
      </c>
      <c r="E186" s="7" t="s">
        <v>598</v>
      </c>
      <c r="F186" s="23">
        <v>41665</v>
      </c>
    </row>
    <row r="187" spans="1:6" x14ac:dyDescent="0.25">
      <c r="A187" s="8" t="s">
        <v>547</v>
      </c>
      <c r="B187" s="8" t="s">
        <v>548</v>
      </c>
      <c r="C187" s="8" t="s">
        <v>549</v>
      </c>
      <c r="D187" s="8" t="s">
        <v>929</v>
      </c>
      <c r="E187" s="7" t="s">
        <v>599</v>
      </c>
      <c r="F187" s="23">
        <v>41641</v>
      </c>
    </row>
    <row r="188" spans="1:6" x14ac:dyDescent="0.25">
      <c r="A188" s="8" t="s">
        <v>550</v>
      </c>
      <c r="B188" s="8" t="s">
        <v>551</v>
      </c>
      <c r="C188" s="8" t="s">
        <v>552</v>
      </c>
      <c r="D188" s="8" t="s">
        <v>930</v>
      </c>
      <c r="E188" s="7" t="s">
        <v>600</v>
      </c>
      <c r="F188" s="23">
        <v>41680</v>
      </c>
    </row>
    <row r="189" spans="1:6" x14ac:dyDescent="0.25">
      <c r="A189" s="8" t="s">
        <v>553</v>
      </c>
      <c r="B189" s="8" t="s">
        <v>554</v>
      </c>
      <c r="C189" s="8" t="s">
        <v>555</v>
      </c>
      <c r="D189" s="8" t="s">
        <v>931</v>
      </c>
      <c r="E189" s="7" t="s">
        <v>601</v>
      </c>
      <c r="F189" s="23">
        <v>41653</v>
      </c>
    </row>
    <row r="190" spans="1:6" x14ac:dyDescent="0.25">
      <c r="A190" s="8" t="s">
        <v>328</v>
      </c>
      <c r="B190" s="8" t="s">
        <v>556</v>
      </c>
      <c r="C190" s="8" t="s">
        <v>557</v>
      </c>
      <c r="D190" s="8" t="s">
        <v>932</v>
      </c>
      <c r="E190" s="7" t="s">
        <v>602</v>
      </c>
      <c r="F190" s="23">
        <v>41679</v>
      </c>
    </row>
    <row r="191" spans="1:6" x14ac:dyDescent="0.25">
      <c r="A191" s="8" t="s">
        <v>558</v>
      </c>
      <c r="B191" s="8" t="s">
        <v>191</v>
      </c>
      <c r="C191" s="8" t="s">
        <v>559</v>
      </c>
      <c r="D191" s="8" t="s">
        <v>927</v>
      </c>
      <c r="E191" s="7" t="s">
        <v>603</v>
      </c>
      <c r="F191" s="23">
        <v>41661</v>
      </c>
    </row>
    <row r="192" spans="1:6" x14ac:dyDescent="0.25">
      <c r="A192" s="8" t="s">
        <v>25</v>
      </c>
      <c r="B192" s="8" t="s">
        <v>560</v>
      </c>
      <c r="C192" s="8" t="s">
        <v>561</v>
      </c>
      <c r="D192" s="8" t="s">
        <v>926</v>
      </c>
      <c r="E192" s="7" t="s">
        <v>605</v>
      </c>
      <c r="F192" s="23">
        <v>41688</v>
      </c>
    </row>
    <row r="193" spans="1:6" x14ac:dyDescent="0.25">
      <c r="A193" s="8" t="s">
        <v>562</v>
      </c>
      <c r="B193" s="8" t="s">
        <v>563</v>
      </c>
      <c r="C193" s="8" t="s">
        <v>564</v>
      </c>
      <c r="D193" s="8" t="s">
        <v>925</v>
      </c>
      <c r="E193" s="7" t="s">
        <v>609</v>
      </c>
      <c r="F193" s="23">
        <v>41685</v>
      </c>
    </row>
    <row r="194" spans="1:6" x14ac:dyDescent="0.25">
      <c r="A194" s="8" t="s">
        <v>90</v>
      </c>
      <c r="B194" s="8" t="s">
        <v>565</v>
      </c>
      <c r="C194" s="8" t="s">
        <v>566</v>
      </c>
      <c r="D194" s="8" t="s">
        <v>924</v>
      </c>
      <c r="E194" s="7" t="s">
        <v>610</v>
      </c>
      <c r="F194" s="23">
        <v>41695</v>
      </c>
    </row>
    <row r="195" spans="1:6" x14ac:dyDescent="0.25">
      <c r="A195" s="8" t="s">
        <v>567</v>
      </c>
      <c r="B195" s="8" t="s">
        <v>568</v>
      </c>
      <c r="C195" s="8" t="s">
        <v>569</v>
      </c>
      <c r="D195" s="8" t="s">
        <v>923</v>
      </c>
      <c r="E195" s="7" t="s">
        <v>611</v>
      </c>
      <c r="F195" s="23">
        <v>41654</v>
      </c>
    </row>
    <row r="196" spans="1:6" x14ac:dyDescent="0.25">
      <c r="A196" s="8" t="s">
        <v>570</v>
      </c>
      <c r="B196" s="8" t="s">
        <v>571</v>
      </c>
      <c r="C196" s="8" t="s">
        <v>572</v>
      </c>
      <c r="D196" s="8" t="s">
        <v>922</v>
      </c>
      <c r="E196" s="7" t="s">
        <v>612</v>
      </c>
      <c r="F196" s="23">
        <v>41670</v>
      </c>
    </row>
    <row r="197" spans="1:6" x14ac:dyDescent="0.25">
      <c r="A197" s="8" t="s">
        <v>544</v>
      </c>
      <c r="B197" s="8" t="s">
        <v>573</v>
      </c>
      <c r="C197" s="8" t="s">
        <v>574</v>
      </c>
      <c r="D197" s="8" t="s">
        <v>921</v>
      </c>
      <c r="E197" s="7" t="s">
        <v>613</v>
      </c>
      <c r="F197" s="23">
        <v>41682</v>
      </c>
    </row>
    <row r="198" spans="1:6" x14ac:dyDescent="0.25">
      <c r="A198" s="8" t="s">
        <v>237</v>
      </c>
      <c r="B198" s="8" t="s">
        <v>575</v>
      </c>
      <c r="C198" s="8" t="s">
        <v>576</v>
      </c>
      <c r="D198" s="8" t="s">
        <v>920</v>
      </c>
      <c r="E198" s="7" t="s">
        <v>615</v>
      </c>
      <c r="F198" s="23">
        <v>41666</v>
      </c>
    </row>
    <row r="199" spans="1:6" x14ac:dyDescent="0.25">
      <c r="A199" s="8" t="s">
        <v>577</v>
      </c>
      <c r="B199" s="8" t="s">
        <v>578</v>
      </c>
      <c r="C199" s="8" t="s">
        <v>579</v>
      </c>
      <c r="D199" s="8" t="s">
        <v>919</v>
      </c>
      <c r="E199" s="7" t="s">
        <v>616</v>
      </c>
      <c r="F199" s="23">
        <v>41646</v>
      </c>
    </row>
    <row r="200" spans="1:6" x14ac:dyDescent="0.25">
      <c r="A200" s="8" t="s">
        <v>580</v>
      </c>
      <c r="B200" s="8" t="s">
        <v>581</v>
      </c>
      <c r="C200" s="8" t="s">
        <v>582</v>
      </c>
      <c r="D200" s="8" t="s">
        <v>918</v>
      </c>
      <c r="E200" s="7" t="s">
        <v>623</v>
      </c>
      <c r="F200" s="23">
        <v>41655</v>
      </c>
    </row>
    <row r="201" spans="1:6" x14ac:dyDescent="0.25">
      <c r="A201" s="8" t="s">
        <v>583</v>
      </c>
      <c r="B201" s="8" t="s">
        <v>584</v>
      </c>
      <c r="C201" s="8" t="s">
        <v>585</v>
      </c>
      <c r="D201" s="8" t="s">
        <v>586</v>
      </c>
      <c r="E201" s="7" t="s">
        <v>624</v>
      </c>
      <c r="F201" s="23">
        <v>41648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1BC0-EA7F-4C2F-AE22-DB59D619A053}">
  <sheetPr>
    <tabColor theme="7" tint="-0.249977111117893"/>
  </sheetPr>
  <dimension ref="A1:AJ201"/>
  <sheetViews>
    <sheetView topLeftCell="H1" workbookViewId="0">
      <selection activeCell="L2" sqref="L2:L201"/>
    </sheetView>
  </sheetViews>
  <sheetFormatPr defaultRowHeight="15" x14ac:dyDescent="0.25"/>
  <cols>
    <col min="1" max="1" width="11.6328125" customWidth="1"/>
    <col min="2" max="2" width="11.453125" customWidth="1"/>
    <col min="3" max="3" width="10.81640625" customWidth="1"/>
    <col min="4" max="4" width="13.36328125" bestFit="1" customWidth="1"/>
    <col min="5" max="5" width="11.26953125" customWidth="1"/>
    <col min="6" max="6" width="15.08984375" customWidth="1"/>
    <col min="7" max="7" width="13.1796875" customWidth="1"/>
    <col min="8" max="8" width="15.1796875" customWidth="1"/>
    <col min="9" max="9" width="12.90625" customWidth="1"/>
    <col min="10" max="10" width="9.08984375" customWidth="1"/>
    <col min="11" max="11" width="21.36328125" customWidth="1"/>
    <col min="12" max="12" width="10.6328125" customWidth="1"/>
    <col min="13" max="13" width="21.26953125" customWidth="1"/>
    <col min="14" max="14" width="15.08984375" customWidth="1"/>
    <col min="15" max="15" width="10.1796875" customWidth="1"/>
  </cols>
  <sheetData>
    <row r="1" spans="1:36" s="14" customFormat="1" x14ac:dyDescent="0.25">
      <c r="A1" s="13" t="s">
        <v>0</v>
      </c>
      <c r="B1" s="13" t="s">
        <v>1</v>
      </c>
      <c r="C1" s="13" t="s">
        <v>976</v>
      </c>
      <c r="D1" s="13" t="s">
        <v>587</v>
      </c>
      <c r="E1" s="13" t="s">
        <v>977</v>
      </c>
      <c r="F1" s="13" t="s">
        <v>978</v>
      </c>
      <c r="G1" s="13" t="s">
        <v>979</v>
      </c>
      <c r="H1" s="13" t="s">
        <v>588</v>
      </c>
      <c r="I1" s="13" t="s">
        <v>980</v>
      </c>
      <c r="J1" s="13" t="s">
        <v>589</v>
      </c>
      <c r="K1" s="13" t="s">
        <v>981</v>
      </c>
      <c r="L1" s="13" t="s">
        <v>982</v>
      </c>
      <c r="M1" s="13" t="s">
        <v>983</v>
      </c>
      <c r="N1" s="13" t="s">
        <v>971</v>
      </c>
      <c r="O1" s="13" t="s">
        <v>590</v>
      </c>
      <c r="P1" s="13" t="s">
        <v>984</v>
      </c>
      <c r="Q1" s="13" t="s">
        <v>972</v>
      </c>
      <c r="R1" s="13" t="s">
        <v>973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15.6" x14ac:dyDescent="0.25">
      <c r="A2" s="4" t="str">
        <f>raw_data[[#This Row],[First Name]]</f>
        <v>Naomi</v>
      </c>
      <c r="B2" s="4" t="str">
        <f>raw_data[[#This Row],[Last Name]]</f>
        <v>Rev</v>
      </c>
      <c r="C2" s="4" t="str">
        <f>TRIM(cleaned_data[[#This Row],[First Name]]&amp; " "&amp;cleaned_data[[#This Row],[Last Name]])</f>
        <v>Naomi Rev</v>
      </c>
      <c r="D2" s="4" t="str">
        <f>raw_data[[#This Row],[Phone]]</f>
        <v>(383) 835-9398</v>
      </c>
      <c r="E2" s="4" t="str">
        <f>MID(cleaned_data[[#This Row],[Phone]],FIND("(",cleaned_data[[#This Row],[Phone]])+1,3)</f>
        <v>383</v>
      </c>
      <c r="F2" s="4" t="str">
        <f>RIGHT(SUBSTITUTE(cleaned_data[[#This Row],[Phone]],"-",""),7)</f>
        <v>8359398</v>
      </c>
      <c r="G2" s="4" t="str">
        <f>SUBSTITUTE(SUBSTITUTE(SUBSTITUTE(cleaned_data[[#This Row],[Phone]],"(",""),")","")," ","")</f>
        <v>383835-9398</v>
      </c>
      <c r="H2" s="4" t="str">
        <f>raw_data[[#This Row],[Street Address]]</f>
        <v>41839 Franti Drive</v>
      </c>
      <c r="I2" s="4" t="str">
        <f>TRIM(MID(cleaned_data[[#This Row],[Street Address]],FIND(" ",cleaned_data[[#This Row],[Street Address]])+1,LEN(cleaned_data[[#This Row],[Street Address]])))</f>
        <v>Franti Drive</v>
      </c>
      <c r="J2" s="15" t="str">
        <f>raw_data[[#This Row],[Zipcode]]</f>
        <v>03249</v>
      </c>
      <c r="K2" s="4" t="str">
        <f>cleaned_data[[#This Row],[Zipcode]]&amp;" - "&amp;cleaned_data[[#This Row],[Street Name]]</f>
        <v>03249 - Franti Drive</v>
      </c>
      <c r="L2" s="4" t="str">
        <f>LEFT(cleaned_data[[#This Row],[First Name]],3)&amp;LEFT(cleaned_data[[#This Row],[Last Name]],3)&amp;cleaned_data[[#This Row],[Area Code]]</f>
        <v>NaoRev383</v>
      </c>
      <c r="M2" s="4" t="str">
        <f>SUBSTITUTE(cleaned_data[[#This Row],[Street Address]],"St.","Street")</f>
        <v>41839 Franti Drive</v>
      </c>
      <c r="N2" s="4" t="str">
        <f>LEFT(cleaned_data[[#This Row],[Street Address]],FIND(" ",cleaned_data[[#This Row],[Street Address]])-1)</f>
        <v>41839</v>
      </c>
      <c r="O2" s="16">
        <f>raw_data[[#This Row],[Req Date]]</f>
        <v>41839</v>
      </c>
      <c r="P2" s="4">
        <f>YEAR(cleaned_data[[#This Row],[Req Date]])</f>
        <v>2014</v>
      </c>
      <c r="Q2" s="4">
        <f>MONTH(cleaned_data[[#This Row],[Req Date]])</f>
        <v>7</v>
      </c>
      <c r="R2" s="4">
        <f>DAY(cleaned_data[[#This Row],[Req Date]])</f>
        <v>19</v>
      </c>
    </row>
    <row r="3" spans="1:36" ht="15.6" x14ac:dyDescent="0.25">
      <c r="A3" s="4" t="str">
        <f>raw_data[[#This Row],[First Name]]</f>
        <v>Micah</v>
      </c>
      <c r="B3" s="4" t="str">
        <f>raw_data[[#This Row],[Last Name]]</f>
        <v>Harvey</v>
      </c>
      <c r="C3" s="4" t="str">
        <f>TRIM(cleaned_data[[#This Row],[First Name]]&amp; " "&amp;cleaned_data[[#This Row],[Last Name]])</f>
        <v>Micah Harvey</v>
      </c>
      <c r="D3" s="4" t="str">
        <f>raw_data[[#This Row],[Phone]]</f>
        <v>(564) 618-7716</v>
      </c>
      <c r="E3" s="4" t="str">
        <f>MID(cleaned_data[[#This Row],[Phone]],FIND("(",cleaned_data[[#This Row],[Phone]])+1,3)</f>
        <v>564</v>
      </c>
      <c r="F3" s="4" t="str">
        <f>RIGHT(SUBSTITUTE(cleaned_data[[#This Row],[Phone]],"-",""),7)</f>
        <v>6187716</v>
      </c>
      <c r="G3" s="4" t="str">
        <f>SUBSTITUTE(SUBSTITUTE(SUBSTITUTE(cleaned_data[[#This Row],[Phone]],"(",""),")","")," ","")</f>
        <v>564618-7716</v>
      </c>
      <c r="H3" s="4" t="str">
        <f>raw_data[[#This Row],[Street Address]]</f>
        <v>6013 Aliquam St.</v>
      </c>
      <c r="I3" s="4" t="str">
        <f>TRIM(MID(cleaned_data[[#This Row],[Street Address]],FIND(" ",cleaned_data[[#This Row],[Street Address]])+1,LEN(cleaned_data[[#This Row],[Street Address]])))</f>
        <v>Aliquam St.</v>
      </c>
      <c r="J3" s="15" t="str">
        <f>raw_data[[#This Row],[Zipcode]]</f>
        <v>32114</v>
      </c>
      <c r="K3" s="4" t="str">
        <f>cleaned_data[[#This Row],[Zipcode]]&amp;" - "&amp;cleaned_data[[#This Row],[Street Name]]</f>
        <v>32114 - Aliquam St.</v>
      </c>
      <c r="L3" s="4" t="str">
        <f>LEFT(cleaned_data[[#This Row],[First Name]],3)&amp;LEFT(cleaned_data[[#This Row],[Last Name]],3)&amp;cleaned_data[[#This Row],[Area Code]]</f>
        <v>MicHar564</v>
      </c>
      <c r="M3" s="4" t="str">
        <f>SUBSTITUTE(cleaned_data[[#This Row],[Street Address]],"St.","Street")</f>
        <v>6013 Aliquam Street</v>
      </c>
      <c r="N3" s="4" t="str">
        <f>LEFT(cleaned_data[[#This Row],[Street Address]],FIND(" ",cleaned_data[[#This Row],[Street Address]])-1)</f>
        <v>6013</v>
      </c>
      <c r="O3" s="16">
        <f>raw_data[[#This Row],[Req Date]]</f>
        <v>41685</v>
      </c>
      <c r="P3" s="4">
        <f>YEAR(cleaned_data[[#This Row],[Req Date]])</f>
        <v>2014</v>
      </c>
      <c r="Q3" s="4">
        <f>MONTH(cleaned_data[[#This Row],[Req Date]])</f>
        <v>2</v>
      </c>
      <c r="R3" s="4">
        <f>DAY(cleaned_data[[#This Row],[Req Date]])</f>
        <v>15</v>
      </c>
    </row>
    <row r="4" spans="1:36" ht="15.6" x14ac:dyDescent="0.25">
      <c r="A4" s="4" t="str">
        <f>raw_data[[#This Row],[First Name]]</f>
        <v>Dante</v>
      </c>
      <c r="B4" s="4" t="str">
        <f>raw_data[[#This Row],[Last Name]]</f>
        <v>Levy</v>
      </c>
      <c r="C4" s="4" t="str">
        <f>TRIM(cleaned_data[[#This Row],[First Name]]&amp; " "&amp;cleaned_data[[#This Row],[Last Name]])</f>
        <v>Dante Levy</v>
      </c>
      <c r="D4" s="4" t="str">
        <f>raw_data[[#This Row],[Phone]]</f>
        <v>(636) 920-1555</v>
      </c>
      <c r="E4" s="4" t="str">
        <f>MID(cleaned_data[[#This Row],[Phone]],FIND("(",cleaned_data[[#This Row],[Phone]])+1,3)</f>
        <v>636</v>
      </c>
      <c r="F4" s="4" t="str">
        <f>RIGHT(SUBSTITUTE(cleaned_data[[#This Row],[Phone]],"-",""),7)</f>
        <v>9201555</v>
      </c>
      <c r="G4" s="4" t="str">
        <f>SUBSTITUTE(SUBSTITUTE(SUBSTITUTE(cleaned_data[[#This Row],[Phone]],"(",""),")","")," ","")</f>
        <v>636920-1555</v>
      </c>
      <c r="H4" s="4" t="str">
        <f>raw_data[[#This Row],[Street Address]]</f>
        <v>2201 Hashtag Sq.</v>
      </c>
      <c r="I4" s="4" t="str">
        <f>TRIM(MID(cleaned_data[[#This Row],[Street Address]],FIND(" ",cleaned_data[[#This Row],[Street Address]])+1,LEN(cleaned_data[[#This Row],[Street Address]])))</f>
        <v>Hashtag Sq.</v>
      </c>
      <c r="J4" s="15" t="str">
        <f>raw_data[[#This Row],[Zipcode]]</f>
        <v>02108</v>
      </c>
      <c r="K4" s="4" t="str">
        <f>cleaned_data[[#This Row],[Zipcode]]&amp;" - "&amp;cleaned_data[[#This Row],[Street Name]]</f>
        <v>02108 - Hashtag Sq.</v>
      </c>
      <c r="L4" s="4" t="str">
        <f>LEFT(cleaned_data[[#This Row],[First Name]],3)&amp;LEFT(cleaned_data[[#This Row],[Last Name]],3)&amp;cleaned_data[[#This Row],[Area Code]]</f>
        <v>DanLev636</v>
      </c>
      <c r="M4" s="4" t="str">
        <f>SUBSTITUTE(cleaned_data[[#This Row],[Street Address]],"St.","Street")</f>
        <v>2201 Hashtag Sq.</v>
      </c>
      <c r="N4" s="4" t="str">
        <f>LEFT(cleaned_data[[#This Row],[Street Address]],FIND(" ",cleaned_data[[#This Row],[Street Address]])-1)</f>
        <v>2201</v>
      </c>
      <c r="O4" s="16">
        <f>raw_data[[#This Row],[Req Date]]</f>
        <v>41667</v>
      </c>
      <c r="P4" s="4">
        <f>YEAR(cleaned_data[[#This Row],[Req Date]])</f>
        <v>2014</v>
      </c>
      <c r="Q4" s="4">
        <f>MONTH(cleaned_data[[#This Row],[Req Date]])</f>
        <v>1</v>
      </c>
      <c r="R4" s="4">
        <f>DAY(cleaned_data[[#This Row],[Req Date]])</f>
        <v>28</v>
      </c>
    </row>
    <row r="5" spans="1:36" ht="15.6" x14ac:dyDescent="0.25">
      <c r="A5" s="4" t="str">
        <f>raw_data[[#This Row],[First Name]]</f>
        <v>Britanney</v>
      </c>
      <c r="B5" s="4" t="str">
        <f>raw_data[[#This Row],[Last Name]]</f>
        <v>Adkins</v>
      </c>
      <c r="C5" s="4" t="str">
        <f>TRIM(cleaned_data[[#This Row],[First Name]]&amp; " "&amp;cleaned_data[[#This Row],[Last Name]])</f>
        <v>Britanney Adkins</v>
      </c>
      <c r="D5" s="4" t="str">
        <f>raw_data[[#This Row],[Phone]]</f>
        <v>(173) 876-9722</v>
      </c>
      <c r="E5" s="4" t="str">
        <f>MID(cleaned_data[[#This Row],[Phone]],FIND("(",cleaned_data[[#This Row],[Phone]])+1,3)</f>
        <v>173</v>
      </c>
      <c r="F5" s="4" t="str">
        <f>RIGHT(SUBSTITUTE(cleaned_data[[#This Row],[Phone]],"-",""),7)</f>
        <v>8769722</v>
      </c>
      <c r="G5" s="4" t="str">
        <f>SUBSTITUTE(SUBSTITUTE(SUBSTITUTE(cleaned_data[[#This Row],[Phone]],"(",""),")","")," ","")</f>
        <v>173876-9722</v>
      </c>
      <c r="H5" s="4" t="str">
        <f>raw_data[[#This Row],[Street Address]]</f>
        <v>3205 Sodales St.</v>
      </c>
      <c r="I5" s="4" t="str">
        <f>TRIM(MID(cleaned_data[[#This Row],[Street Address]],FIND(" ",cleaned_data[[#This Row],[Street Address]])+1,LEN(cleaned_data[[#This Row],[Street Address]])))</f>
        <v>Sodales St.</v>
      </c>
      <c r="J5" s="15" t="str">
        <f>raw_data[[#This Row],[Zipcode]]</f>
        <v>87511</v>
      </c>
      <c r="K5" s="4" t="str">
        <f>cleaned_data[[#This Row],[Zipcode]]&amp;" - "&amp;cleaned_data[[#This Row],[Street Name]]</f>
        <v>87511 - Sodales St.</v>
      </c>
      <c r="L5" s="4" t="str">
        <f>LEFT(cleaned_data[[#This Row],[First Name]],3)&amp;LEFT(cleaned_data[[#This Row],[Last Name]],3)&amp;cleaned_data[[#This Row],[Area Code]]</f>
        <v>BriAdk173</v>
      </c>
      <c r="M5" s="4" t="str">
        <f>SUBSTITUTE(cleaned_data[[#This Row],[Street Address]],"St.","Street")</f>
        <v>3205 Sodales Street</v>
      </c>
      <c r="N5" s="4" t="str">
        <f>LEFT(cleaned_data[[#This Row],[Street Address]],FIND(" ",cleaned_data[[#This Row],[Street Address]])-1)</f>
        <v>3205</v>
      </c>
      <c r="O5" s="16">
        <f>raw_data[[#This Row],[Req Date]]</f>
        <v>41698</v>
      </c>
      <c r="P5" s="4">
        <f>YEAR(cleaned_data[[#This Row],[Req Date]])</f>
        <v>2014</v>
      </c>
      <c r="Q5" s="4">
        <f>MONTH(cleaned_data[[#This Row],[Req Date]])</f>
        <v>2</v>
      </c>
      <c r="R5" s="4">
        <f>DAY(cleaned_data[[#This Row],[Req Date]])</f>
        <v>28</v>
      </c>
    </row>
    <row r="6" spans="1:36" ht="15.6" x14ac:dyDescent="0.25">
      <c r="A6" s="4" t="str">
        <f>raw_data[[#This Row],[First Name]]</f>
        <v>Ashely</v>
      </c>
      <c r="B6" s="4" t="str">
        <f>raw_data[[#This Row],[Last Name]]</f>
        <v>Todd</v>
      </c>
      <c r="C6" s="4" t="str">
        <f>TRIM(cleaned_data[[#This Row],[First Name]]&amp; " "&amp;cleaned_data[[#This Row],[Last Name]])</f>
        <v>Ashely Todd</v>
      </c>
      <c r="D6" s="4" t="str">
        <f>raw_data[[#This Row],[Phone]]</f>
        <v>(189) 609-1799</v>
      </c>
      <c r="E6" s="4" t="str">
        <f>MID(cleaned_data[[#This Row],[Phone]],FIND("(",cleaned_data[[#This Row],[Phone]])+1,3)</f>
        <v>189</v>
      </c>
      <c r="F6" s="4" t="str">
        <f>RIGHT(SUBSTITUTE(cleaned_data[[#This Row],[Phone]],"-",""),7)</f>
        <v>6091799</v>
      </c>
      <c r="G6" s="4" t="str">
        <f>SUBSTITUTE(SUBSTITUTE(SUBSTITUTE(cleaned_data[[#This Row],[Phone]],"(",""),")","")," ","")</f>
        <v>189609-1799</v>
      </c>
      <c r="H6" s="4" t="str">
        <f>raw_data[[#This Row],[Street Address]]</f>
        <v>7552 Dictum Ave.</v>
      </c>
      <c r="I6" s="4" t="str">
        <f>TRIM(MID(cleaned_data[[#This Row],[Street Address]],FIND(" ",cleaned_data[[#This Row],[Street Address]])+1,LEN(cleaned_data[[#This Row],[Street Address]])))</f>
        <v>Dictum Ave.</v>
      </c>
      <c r="J6" s="15" t="str">
        <f>raw_data[[#This Row],[Zipcode]]</f>
        <v>60602</v>
      </c>
      <c r="K6" s="4" t="str">
        <f>cleaned_data[[#This Row],[Zipcode]]&amp;" - "&amp;cleaned_data[[#This Row],[Street Name]]</f>
        <v>60602 - Dictum Ave.</v>
      </c>
      <c r="L6" s="4" t="str">
        <f>LEFT(cleaned_data[[#This Row],[First Name]],3)&amp;LEFT(cleaned_data[[#This Row],[Last Name]],3)&amp;cleaned_data[[#This Row],[Area Code]]</f>
        <v>AshTod189</v>
      </c>
      <c r="M6" s="4" t="str">
        <f>SUBSTITUTE(cleaned_data[[#This Row],[Street Address]],"St.","Street")</f>
        <v>7552 Dictum Ave.</v>
      </c>
      <c r="N6" s="4" t="str">
        <f>LEFT(cleaned_data[[#This Row],[Street Address]],FIND(" ",cleaned_data[[#This Row],[Street Address]])-1)</f>
        <v>7552</v>
      </c>
      <c r="O6" s="16">
        <f>raw_data[[#This Row],[Req Date]]</f>
        <v>41633</v>
      </c>
      <c r="P6" s="4">
        <f>YEAR(cleaned_data[[#This Row],[Req Date]])</f>
        <v>2013</v>
      </c>
      <c r="Q6" s="4">
        <f>MONTH(cleaned_data[[#This Row],[Req Date]])</f>
        <v>12</v>
      </c>
      <c r="R6" s="4">
        <f>DAY(cleaned_data[[#This Row],[Req Date]])</f>
        <v>25</v>
      </c>
    </row>
    <row r="7" spans="1:36" ht="15.6" x14ac:dyDescent="0.25">
      <c r="A7" s="4" t="str">
        <f>raw_data[[#This Row],[First Name]]</f>
        <v>Walker</v>
      </c>
      <c r="B7" s="4" t="str">
        <f>raw_data[[#This Row],[Last Name]]</f>
        <v>Alston</v>
      </c>
      <c r="C7" s="4" t="str">
        <f>TRIM(cleaned_data[[#This Row],[First Name]]&amp; " "&amp;cleaned_data[[#This Row],[Last Name]])</f>
        <v>Walker Alston</v>
      </c>
      <c r="D7" s="4" t="str">
        <f>raw_data[[#This Row],[Phone]]</f>
        <v>(543) 854-5444</v>
      </c>
      <c r="E7" s="4" t="str">
        <f>MID(cleaned_data[[#This Row],[Phone]],FIND("(",cleaned_data[[#This Row],[Phone]])+1,3)</f>
        <v>543</v>
      </c>
      <c r="F7" s="4" t="str">
        <f>RIGHT(SUBSTITUTE(cleaned_data[[#This Row],[Phone]],"-",""),7)</f>
        <v>8545444</v>
      </c>
      <c r="G7" s="4" t="str">
        <f>SUBSTITUTE(SUBSTITUTE(SUBSTITUTE(cleaned_data[[#This Row],[Phone]],"(",""),")","")," ","")</f>
        <v>543854-5444</v>
      </c>
      <c r="H7" s="4" t="str">
        <f>raw_data[[#This Row],[Street Address]]</f>
        <v>2836 Malesuada St.</v>
      </c>
      <c r="I7" s="4" t="str">
        <f>TRIM(MID(cleaned_data[[#This Row],[Street Address]],FIND(" ",cleaned_data[[#This Row],[Street Address]])+1,LEN(cleaned_data[[#This Row],[Street Address]])))</f>
        <v>Malesuada St.</v>
      </c>
      <c r="J7" s="15" t="str">
        <f>raw_data[[#This Row],[Zipcode]]</f>
        <v>19510</v>
      </c>
      <c r="K7" s="4" t="str">
        <f>cleaned_data[[#This Row],[Zipcode]]&amp;" - "&amp;cleaned_data[[#This Row],[Street Name]]</f>
        <v>19510 - Malesuada St.</v>
      </c>
      <c r="L7" s="4" t="str">
        <f>LEFT(cleaned_data[[#This Row],[First Name]],3)&amp;LEFT(cleaned_data[[#This Row],[Last Name]],3)&amp;cleaned_data[[#This Row],[Area Code]]</f>
        <v>WalAls543</v>
      </c>
      <c r="M7" s="4" t="str">
        <f>SUBSTITUTE(cleaned_data[[#This Row],[Street Address]],"St.","Street")</f>
        <v>2836 Malesuada Street</v>
      </c>
      <c r="N7" s="4" t="str">
        <f>LEFT(cleaned_data[[#This Row],[Street Address]],FIND(" ",cleaned_data[[#This Row],[Street Address]])-1)</f>
        <v>2836</v>
      </c>
      <c r="O7" s="16">
        <f>raw_data[[#This Row],[Req Date]]</f>
        <v>41694</v>
      </c>
      <c r="P7" s="4">
        <f>YEAR(cleaned_data[[#This Row],[Req Date]])</f>
        <v>2014</v>
      </c>
      <c r="Q7" s="4">
        <f>MONTH(cleaned_data[[#This Row],[Req Date]])</f>
        <v>2</v>
      </c>
      <c r="R7" s="4">
        <f>DAY(cleaned_data[[#This Row],[Req Date]])</f>
        <v>24</v>
      </c>
    </row>
    <row r="8" spans="1:36" ht="15.6" x14ac:dyDescent="0.25">
      <c r="A8" s="4" t="str">
        <f>raw_data[[#This Row],[First Name]]</f>
        <v>Georgia</v>
      </c>
      <c r="B8" s="4" t="str">
        <f>raw_data[[#This Row],[Last Name]]</f>
        <v>Collier</v>
      </c>
      <c r="C8" s="4" t="str">
        <f>TRIM(cleaned_data[[#This Row],[First Name]]&amp; " "&amp;cleaned_data[[#This Row],[Last Name]])</f>
        <v>Georgia Collier</v>
      </c>
      <c r="D8" s="4" t="str">
        <f>raw_data[[#This Row],[Phone]]</f>
        <v>(309) 214-5590</v>
      </c>
      <c r="E8" s="4" t="str">
        <f>MID(cleaned_data[[#This Row],[Phone]],FIND("(",cleaned_data[[#This Row],[Phone]])+1,3)</f>
        <v>309</v>
      </c>
      <c r="F8" s="4" t="str">
        <f>RIGHT(SUBSTITUTE(cleaned_data[[#This Row],[Phone]],"-",""),7)</f>
        <v>2145590</v>
      </c>
      <c r="G8" s="4" t="str">
        <f>SUBSTITUTE(SUBSTITUTE(SUBSTITUTE(cleaned_data[[#This Row],[Phone]],"(",""),")","")," ","")</f>
        <v>309214-5590</v>
      </c>
      <c r="H8" s="4" t="str">
        <f>raw_data[[#This Row],[Street Address]]</f>
        <v>3651 Semper Ave.</v>
      </c>
      <c r="I8" s="4" t="str">
        <f>TRIM(MID(cleaned_data[[#This Row],[Street Address]],FIND(" ",cleaned_data[[#This Row],[Street Address]])+1,LEN(cleaned_data[[#This Row],[Street Address]])))</f>
        <v>Semper Ave.</v>
      </c>
      <c r="J8" s="15" t="str">
        <f>raw_data[[#This Row],[Zipcode]]</f>
        <v>13309</v>
      </c>
      <c r="K8" s="4" t="str">
        <f>cleaned_data[[#This Row],[Zipcode]]&amp;" - "&amp;cleaned_data[[#This Row],[Street Name]]</f>
        <v>13309 - Semper Ave.</v>
      </c>
      <c r="L8" s="4" t="str">
        <f>LEFT(cleaned_data[[#This Row],[First Name]],3)&amp;LEFT(cleaned_data[[#This Row],[Last Name]],3)&amp;cleaned_data[[#This Row],[Area Code]]</f>
        <v>GeoCol309</v>
      </c>
      <c r="M8" s="4" t="str">
        <f>SUBSTITUTE(cleaned_data[[#This Row],[Street Address]],"St.","Street")</f>
        <v>3651 Semper Ave.</v>
      </c>
      <c r="N8" s="4" t="str">
        <f>LEFT(cleaned_data[[#This Row],[Street Address]],FIND(" ",cleaned_data[[#This Row],[Street Address]])-1)</f>
        <v>3651</v>
      </c>
      <c r="O8" s="16">
        <f>raw_data[[#This Row],[Req Date]]</f>
        <v>41662</v>
      </c>
      <c r="P8" s="4">
        <f>YEAR(cleaned_data[[#This Row],[Req Date]])</f>
        <v>2014</v>
      </c>
      <c r="Q8" s="4">
        <f>MONTH(cleaned_data[[#This Row],[Req Date]])</f>
        <v>1</v>
      </c>
      <c r="R8" s="4">
        <f>DAY(cleaned_data[[#This Row],[Req Date]])</f>
        <v>23</v>
      </c>
    </row>
    <row r="9" spans="1:36" ht="15.6" x14ac:dyDescent="0.25">
      <c r="A9" s="4" t="str">
        <f>raw_data[[#This Row],[First Name]]</f>
        <v>Sacha</v>
      </c>
      <c r="B9" s="4" t="str">
        <f>raw_data[[#This Row],[Last Name]]</f>
        <v>Reilly</v>
      </c>
      <c r="C9" s="4" t="str">
        <f>TRIM(cleaned_data[[#This Row],[First Name]]&amp; " "&amp;cleaned_data[[#This Row],[Last Name]])</f>
        <v>Sacha Reilly</v>
      </c>
      <c r="D9" s="4" t="str">
        <f>raw_data[[#This Row],[Phone]]</f>
        <v>(414) 732-8258</v>
      </c>
      <c r="E9" s="4" t="str">
        <f>MID(cleaned_data[[#This Row],[Phone]],FIND("(",cleaned_data[[#This Row],[Phone]])+1,3)</f>
        <v>414</v>
      </c>
      <c r="F9" s="4" t="str">
        <f>RIGHT(SUBSTITUTE(cleaned_data[[#This Row],[Phone]],"-",""),7)</f>
        <v>7328258</v>
      </c>
      <c r="G9" s="4" t="str">
        <f>SUBSTITUTE(SUBSTITUTE(SUBSTITUTE(cleaned_data[[#This Row],[Phone]],"(",""),")","")," ","")</f>
        <v>414732-8258</v>
      </c>
      <c r="H9" s="4" t="str">
        <f>raw_data[[#This Row],[Street Address]]</f>
        <v>6091 North Ave.</v>
      </c>
      <c r="I9" s="4" t="str">
        <f>TRIM(MID(cleaned_data[[#This Row],[Street Address]],FIND(" ",cleaned_data[[#This Row],[Street Address]])+1,LEN(cleaned_data[[#This Row],[Street Address]])))</f>
        <v>North Ave.</v>
      </c>
      <c r="J9" s="15" t="str">
        <f>raw_data[[#This Row],[Zipcode]]</f>
        <v>05653</v>
      </c>
      <c r="K9" s="4" t="str">
        <f>cleaned_data[[#This Row],[Zipcode]]&amp;" - "&amp;cleaned_data[[#This Row],[Street Name]]</f>
        <v>05653 - North Ave.</v>
      </c>
      <c r="L9" s="4" t="str">
        <f>LEFT(cleaned_data[[#This Row],[First Name]],3)&amp;LEFT(cleaned_data[[#This Row],[Last Name]],3)&amp;cleaned_data[[#This Row],[Area Code]]</f>
        <v>SacRei414</v>
      </c>
      <c r="M9" s="4" t="str">
        <f>SUBSTITUTE(cleaned_data[[#This Row],[Street Address]],"St.","Street")</f>
        <v>6091 North Ave.</v>
      </c>
      <c r="N9" s="4" t="str">
        <f>LEFT(cleaned_data[[#This Row],[Street Address]],FIND(" ",cleaned_data[[#This Row],[Street Address]])-1)</f>
        <v>6091</v>
      </c>
      <c r="O9" s="16">
        <f>raw_data[[#This Row],[Req Date]]</f>
        <v>41685</v>
      </c>
      <c r="P9" s="4">
        <f>YEAR(cleaned_data[[#This Row],[Req Date]])</f>
        <v>2014</v>
      </c>
      <c r="Q9" s="4">
        <f>MONTH(cleaned_data[[#This Row],[Req Date]])</f>
        <v>2</v>
      </c>
      <c r="R9" s="4">
        <f>DAY(cleaned_data[[#This Row],[Req Date]])</f>
        <v>15</v>
      </c>
    </row>
    <row r="10" spans="1:36" ht="15.6" x14ac:dyDescent="0.25">
      <c r="A10" s="4" t="str">
        <f>raw_data[[#This Row],[First Name]]</f>
        <v>Keely</v>
      </c>
      <c r="B10" s="4" t="str">
        <f>raw_data[[#This Row],[Last Name]]</f>
        <v>Lynch</v>
      </c>
      <c r="C10" s="4" t="str">
        <f>TRIM(cleaned_data[[#This Row],[First Name]]&amp; " "&amp;cleaned_data[[#This Row],[Last Name]])</f>
        <v>Keely Lynch</v>
      </c>
      <c r="D10" s="4" t="str">
        <f>raw_data[[#This Row],[Phone]]</f>
        <v>(795) 535-6170</v>
      </c>
      <c r="E10" s="4" t="str">
        <f>MID(cleaned_data[[#This Row],[Phone]],FIND("(",cleaned_data[[#This Row],[Phone]])+1,3)</f>
        <v>795</v>
      </c>
      <c r="F10" s="4" t="str">
        <f>RIGHT(SUBSTITUTE(cleaned_data[[#This Row],[Phone]],"-",""),7)</f>
        <v>5356170</v>
      </c>
      <c r="G10" s="4" t="str">
        <f>SUBSTITUTE(SUBSTITUTE(SUBSTITUTE(cleaned_data[[#This Row],[Phone]],"(",""),")","")," ","")</f>
        <v>795535-6170</v>
      </c>
      <c r="H10" s="4" t="str">
        <f>raw_data[[#This Row],[Street Address]]</f>
        <v>5527 Lorem St.</v>
      </c>
      <c r="I10" s="4" t="str">
        <f>TRIM(MID(cleaned_data[[#This Row],[Street Address]],FIND(" ",cleaned_data[[#This Row],[Street Address]])+1,LEN(cleaned_data[[#This Row],[Street Address]])))</f>
        <v>Lorem St.</v>
      </c>
      <c r="J10" s="15" t="str">
        <f>raw_data[[#This Row],[Zipcode]]</f>
        <v>07111</v>
      </c>
      <c r="K10" s="4" t="str">
        <f>cleaned_data[[#This Row],[Zipcode]]&amp;" - "&amp;cleaned_data[[#This Row],[Street Name]]</f>
        <v>07111 - Lorem St.</v>
      </c>
      <c r="L10" s="4" t="str">
        <f>LEFT(cleaned_data[[#This Row],[First Name]],3)&amp;LEFT(cleaned_data[[#This Row],[Last Name]],3)&amp;cleaned_data[[#This Row],[Area Code]]</f>
        <v>KeeLyn795</v>
      </c>
      <c r="M10" s="4" t="str">
        <f>SUBSTITUTE(cleaned_data[[#This Row],[Street Address]],"St.","Street")</f>
        <v>5527 Lorem Street</v>
      </c>
      <c r="N10" s="4" t="str">
        <f>LEFT(cleaned_data[[#This Row],[Street Address]],FIND(" ",cleaned_data[[#This Row],[Street Address]])-1)</f>
        <v>5527</v>
      </c>
      <c r="O10" s="16">
        <f>raw_data[[#This Row],[Req Date]]</f>
        <v>41645</v>
      </c>
      <c r="P10" s="4">
        <f>YEAR(cleaned_data[[#This Row],[Req Date]])</f>
        <v>2014</v>
      </c>
      <c r="Q10" s="4">
        <f>MONTH(cleaned_data[[#This Row],[Req Date]])</f>
        <v>1</v>
      </c>
      <c r="R10" s="4">
        <f>DAY(cleaned_data[[#This Row],[Req Date]])</f>
        <v>6</v>
      </c>
    </row>
    <row r="11" spans="1:36" ht="15.6" x14ac:dyDescent="0.25">
      <c r="A11" s="4" t="str">
        <f>raw_data[[#This Row],[First Name]]</f>
        <v>Latifah</v>
      </c>
      <c r="B11" s="4" t="str">
        <f>raw_data[[#This Row],[Last Name]]</f>
        <v>Rocha</v>
      </c>
      <c r="C11" s="4" t="str">
        <f>TRIM(cleaned_data[[#This Row],[First Name]]&amp; " "&amp;cleaned_data[[#This Row],[Last Name]])</f>
        <v>Latifah Rocha</v>
      </c>
      <c r="D11" s="4" t="str">
        <f>raw_data[[#This Row],[Phone]]</f>
        <v>(608) 243-4301</v>
      </c>
      <c r="E11" s="4" t="str">
        <f>MID(cleaned_data[[#This Row],[Phone]],FIND("(",cleaned_data[[#This Row],[Phone]])+1,3)</f>
        <v>608</v>
      </c>
      <c r="F11" s="4" t="str">
        <f>RIGHT(SUBSTITUTE(cleaned_data[[#This Row],[Phone]],"-",""),7)</f>
        <v>2434301</v>
      </c>
      <c r="G11" s="4" t="str">
        <f>SUBSTITUTE(SUBSTITUTE(SUBSTITUTE(cleaned_data[[#This Row],[Phone]],"(",""),")","")," ","")</f>
        <v>608243-4301</v>
      </c>
      <c r="H11" s="4" t="str">
        <f>raw_data[[#This Row],[Street Address]]</f>
        <v>2451 Amet Ave.</v>
      </c>
      <c r="I11" s="4" t="str">
        <f>TRIM(MID(cleaned_data[[#This Row],[Street Address]],FIND(" ",cleaned_data[[#This Row],[Street Address]])+1,LEN(cleaned_data[[#This Row],[Street Address]])))</f>
        <v>Amet Ave.</v>
      </c>
      <c r="J11" s="15" t="str">
        <f>raw_data[[#This Row],[Zipcode]]</f>
        <v>38901</v>
      </c>
      <c r="K11" s="4" t="str">
        <f>cleaned_data[[#This Row],[Zipcode]]&amp;" - "&amp;cleaned_data[[#This Row],[Street Name]]</f>
        <v>38901 - Amet Ave.</v>
      </c>
      <c r="L11" s="4" t="str">
        <f>LEFT(cleaned_data[[#This Row],[First Name]],3)&amp;LEFT(cleaned_data[[#This Row],[Last Name]],3)&amp;cleaned_data[[#This Row],[Area Code]]</f>
        <v>LatRoc608</v>
      </c>
      <c r="M11" s="4" t="str">
        <f>SUBSTITUTE(cleaned_data[[#This Row],[Street Address]],"St.","Street")</f>
        <v>2451 Amet Ave.</v>
      </c>
      <c r="N11" s="4" t="str">
        <f>LEFT(cleaned_data[[#This Row],[Street Address]],FIND(" ",cleaned_data[[#This Row],[Street Address]])-1)</f>
        <v>2451</v>
      </c>
      <c r="O11" s="16">
        <f>raw_data[[#This Row],[Req Date]]</f>
        <v>41655</v>
      </c>
      <c r="P11" s="4">
        <f>YEAR(cleaned_data[[#This Row],[Req Date]])</f>
        <v>2014</v>
      </c>
      <c r="Q11" s="4">
        <f>MONTH(cleaned_data[[#This Row],[Req Date]])</f>
        <v>1</v>
      </c>
      <c r="R11" s="4">
        <f>DAY(cleaned_data[[#This Row],[Req Date]])</f>
        <v>16</v>
      </c>
    </row>
    <row r="12" spans="1:36" ht="15.6" x14ac:dyDescent="0.25">
      <c r="A12" s="4" t="str">
        <f>raw_data[[#This Row],[First Name]]</f>
        <v>Raymond</v>
      </c>
      <c r="B12" s="4" t="str">
        <f>raw_data[[#This Row],[Last Name]]</f>
        <v>Aguilar</v>
      </c>
      <c r="C12" s="4" t="str">
        <f>TRIM(cleaned_data[[#This Row],[First Name]]&amp; " "&amp;cleaned_data[[#This Row],[Last Name]])</f>
        <v>Raymond Aguilar</v>
      </c>
      <c r="D12" s="4" t="str">
        <f>raw_data[[#This Row],[Phone]]</f>
        <v>(663) 603-3494</v>
      </c>
      <c r="E12" s="4" t="str">
        <f>MID(cleaned_data[[#This Row],[Phone]],FIND("(",cleaned_data[[#This Row],[Phone]])+1,3)</f>
        <v>663</v>
      </c>
      <c r="F12" s="4" t="str">
        <f>RIGHT(SUBSTITUTE(cleaned_data[[#This Row],[Phone]],"-",""),7)</f>
        <v>6033494</v>
      </c>
      <c r="G12" s="4" t="str">
        <f>SUBSTITUTE(SUBSTITUTE(SUBSTITUTE(cleaned_data[[#This Row],[Phone]],"(",""),")","")," ","")</f>
        <v>663603-3494</v>
      </c>
      <c r="H12" s="4" t="str">
        <f>raw_data[[#This Row],[Street Address]]</f>
        <v>6527 Cumberland St.</v>
      </c>
      <c r="I12" s="4" t="str">
        <f>TRIM(MID(cleaned_data[[#This Row],[Street Address]],FIND(" ",cleaned_data[[#This Row],[Street Address]])+1,LEN(cleaned_data[[#This Row],[Street Address]])))</f>
        <v>Cumberland St.</v>
      </c>
      <c r="J12" s="15" t="str">
        <f>raw_data[[#This Row],[Zipcode]]</f>
        <v>69348</v>
      </c>
      <c r="K12" s="4" t="str">
        <f>cleaned_data[[#This Row],[Zipcode]]&amp;" - "&amp;cleaned_data[[#This Row],[Street Name]]</f>
        <v>69348 - Cumberland St.</v>
      </c>
      <c r="L12" s="4" t="str">
        <f>LEFT(cleaned_data[[#This Row],[First Name]],3)&amp;LEFT(cleaned_data[[#This Row],[Last Name]],3)&amp;cleaned_data[[#This Row],[Area Code]]</f>
        <v>RayAgu663</v>
      </c>
      <c r="M12" s="4" t="str">
        <f>SUBSTITUTE(cleaned_data[[#This Row],[Street Address]],"St.","Street")</f>
        <v>6527 Cumberland Street</v>
      </c>
      <c r="N12" s="4" t="str">
        <f>LEFT(cleaned_data[[#This Row],[Street Address]],FIND(" ",cleaned_data[[#This Row],[Street Address]])-1)</f>
        <v>6527</v>
      </c>
      <c r="O12" s="16">
        <f>raw_data[[#This Row],[Req Date]]</f>
        <v>41628</v>
      </c>
      <c r="P12" s="4">
        <f>YEAR(cleaned_data[[#This Row],[Req Date]])</f>
        <v>2013</v>
      </c>
      <c r="Q12" s="4">
        <f>MONTH(cleaned_data[[#This Row],[Req Date]])</f>
        <v>12</v>
      </c>
      <c r="R12" s="4">
        <f>DAY(cleaned_data[[#This Row],[Req Date]])</f>
        <v>20</v>
      </c>
    </row>
    <row r="13" spans="1:36" ht="15.6" x14ac:dyDescent="0.25">
      <c r="A13" s="4" t="str">
        <f>raw_data[[#This Row],[First Name]]</f>
        <v>Chantale</v>
      </c>
      <c r="B13" s="4" t="str">
        <f>raw_data[[#This Row],[Last Name]]</f>
        <v>Quinn</v>
      </c>
      <c r="C13" s="4" t="str">
        <f>TRIM(cleaned_data[[#This Row],[First Name]]&amp; " "&amp;cleaned_data[[#This Row],[Last Name]])</f>
        <v>Chantale Quinn</v>
      </c>
      <c r="D13" s="4" t="str">
        <f>raw_data[[#This Row],[Phone]]</f>
        <v>(759) 799-8054</v>
      </c>
      <c r="E13" s="4" t="str">
        <f>MID(cleaned_data[[#This Row],[Phone]],FIND("(",cleaned_data[[#This Row],[Phone]])+1,3)</f>
        <v>759</v>
      </c>
      <c r="F13" s="4" t="str">
        <f>RIGHT(SUBSTITUTE(cleaned_data[[#This Row],[Phone]],"-",""),7)</f>
        <v>7998054</v>
      </c>
      <c r="G13" s="4" t="str">
        <f>SUBSTITUTE(SUBSTITUTE(SUBSTITUTE(cleaned_data[[#This Row],[Phone]],"(",""),")","")," ","")</f>
        <v>759799-8054</v>
      </c>
      <c r="H13" s="4" t="str">
        <f>raw_data[[#This Row],[Street Address]]</f>
        <v>2566 Commodore Ave.</v>
      </c>
      <c r="I13" s="4" t="str">
        <f>TRIM(MID(cleaned_data[[#This Row],[Street Address]],FIND(" ",cleaned_data[[#This Row],[Street Address]])+1,LEN(cleaned_data[[#This Row],[Street Address]])))</f>
        <v>Commodore Ave.</v>
      </c>
      <c r="J13" s="15" t="str">
        <f>raw_data[[#This Row],[Zipcode]]</f>
        <v>30113</v>
      </c>
      <c r="K13" s="4" t="str">
        <f>cleaned_data[[#This Row],[Zipcode]]&amp;" - "&amp;cleaned_data[[#This Row],[Street Name]]</f>
        <v>30113 - Commodore Ave.</v>
      </c>
      <c r="L13" s="4" t="str">
        <f>LEFT(cleaned_data[[#This Row],[First Name]],3)&amp;LEFT(cleaned_data[[#This Row],[Last Name]],3)&amp;cleaned_data[[#This Row],[Area Code]]</f>
        <v>ChaQui759</v>
      </c>
      <c r="M13" s="4" t="str">
        <f>SUBSTITUTE(cleaned_data[[#This Row],[Street Address]],"St.","Street")</f>
        <v>2566 Commodore Ave.</v>
      </c>
      <c r="N13" s="4" t="str">
        <f>LEFT(cleaned_data[[#This Row],[Street Address]],FIND(" ",cleaned_data[[#This Row],[Street Address]])-1)</f>
        <v>2566</v>
      </c>
      <c r="O13" s="16">
        <f>raw_data[[#This Row],[Req Date]]</f>
        <v>41635</v>
      </c>
      <c r="P13" s="4">
        <f>YEAR(cleaned_data[[#This Row],[Req Date]])</f>
        <v>2013</v>
      </c>
      <c r="Q13" s="4">
        <f>MONTH(cleaned_data[[#This Row],[Req Date]])</f>
        <v>12</v>
      </c>
      <c r="R13" s="4">
        <f>DAY(cleaned_data[[#This Row],[Req Date]])</f>
        <v>27</v>
      </c>
    </row>
    <row r="14" spans="1:36" ht="15.6" x14ac:dyDescent="0.25">
      <c r="A14" s="4" t="str">
        <f>raw_data[[#This Row],[First Name]]</f>
        <v>Chloe</v>
      </c>
      <c r="B14" s="4" t="str">
        <f>raw_data[[#This Row],[Last Name]]</f>
        <v>Cash</v>
      </c>
      <c r="C14" s="4" t="str">
        <f>TRIM(cleaned_data[[#This Row],[First Name]]&amp; " "&amp;cleaned_data[[#This Row],[Last Name]])</f>
        <v>Chloe Cash</v>
      </c>
      <c r="D14" s="4" t="str">
        <f>raw_data[[#This Row],[Phone]]</f>
        <v>(799) 433-6502</v>
      </c>
      <c r="E14" s="4" t="str">
        <f>MID(cleaned_data[[#This Row],[Phone]],FIND("(",cleaned_data[[#This Row],[Phone]])+1,3)</f>
        <v>799</v>
      </c>
      <c r="F14" s="4" t="str">
        <f>RIGHT(SUBSTITUTE(cleaned_data[[#This Row],[Phone]],"-",""),7)</f>
        <v>4336502</v>
      </c>
      <c r="G14" s="4" t="str">
        <f>SUBSTITUTE(SUBSTITUTE(SUBSTITUTE(cleaned_data[[#This Row],[Phone]],"(",""),")","")," ","")</f>
        <v>799433-6502</v>
      </c>
      <c r="H14" s="4" t="str">
        <f>raw_data[[#This Row],[Street Address]]</f>
        <v>41839 Noparking Street</v>
      </c>
      <c r="I14" s="4" t="str">
        <f>TRIM(MID(cleaned_data[[#This Row],[Street Address]],FIND(" ",cleaned_data[[#This Row],[Street Address]])+1,LEN(cleaned_data[[#This Row],[Street Address]])))</f>
        <v>Noparking Street</v>
      </c>
      <c r="J14" s="15" t="str">
        <f>raw_data[[#This Row],[Zipcode]]</f>
        <v>05654</v>
      </c>
      <c r="K14" s="4" t="str">
        <f>cleaned_data[[#This Row],[Zipcode]]&amp;" - "&amp;cleaned_data[[#This Row],[Street Name]]</f>
        <v>05654 - Noparking Street</v>
      </c>
      <c r="L14" s="4" t="str">
        <f>LEFT(cleaned_data[[#This Row],[First Name]],3)&amp;LEFT(cleaned_data[[#This Row],[Last Name]],3)&amp;cleaned_data[[#This Row],[Area Code]]</f>
        <v>ChlCas799</v>
      </c>
      <c r="M14" s="4" t="str">
        <f>SUBSTITUTE(cleaned_data[[#This Row],[Street Address]],"St.","Street")</f>
        <v>41839 Noparking Street</v>
      </c>
      <c r="N14" s="4" t="str">
        <f>LEFT(cleaned_data[[#This Row],[Street Address]],FIND(" ",cleaned_data[[#This Row],[Street Address]])-1)</f>
        <v>41839</v>
      </c>
      <c r="O14" s="16">
        <f>raw_data[[#This Row],[Req Date]]</f>
        <v>41690</v>
      </c>
      <c r="P14" s="4">
        <f>YEAR(cleaned_data[[#This Row],[Req Date]])</f>
        <v>2014</v>
      </c>
      <c r="Q14" s="4">
        <f>MONTH(cleaned_data[[#This Row],[Req Date]])</f>
        <v>2</v>
      </c>
      <c r="R14" s="4">
        <f>DAY(cleaned_data[[#This Row],[Req Date]])</f>
        <v>20</v>
      </c>
    </row>
    <row r="15" spans="1:36" ht="15.6" x14ac:dyDescent="0.25">
      <c r="A15" s="4" t="str">
        <f>raw_data[[#This Row],[First Name]]</f>
        <v>Whilemina</v>
      </c>
      <c r="B15" s="4" t="str">
        <f>raw_data[[#This Row],[Last Name]]</f>
        <v>Blevins</v>
      </c>
      <c r="C15" s="4" t="str">
        <f>TRIM(cleaned_data[[#This Row],[First Name]]&amp; " "&amp;cleaned_data[[#This Row],[Last Name]])</f>
        <v>Whilemina Blevins</v>
      </c>
      <c r="D15" s="4" t="str">
        <f>raw_data[[#This Row],[Phone]]</f>
        <v>(682) 534-2511</v>
      </c>
      <c r="E15" s="4" t="str">
        <f>MID(cleaned_data[[#This Row],[Phone]],FIND("(",cleaned_data[[#This Row],[Phone]])+1,3)</f>
        <v>682</v>
      </c>
      <c r="F15" s="4" t="str">
        <f>RIGHT(SUBSTITUTE(cleaned_data[[#This Row],[Phone]],"-",""),7)</f>
        <v>5342511</v>
      </c>
      <c r="G15" s="4" t="str">
        <f>SUBSTITUTE(SUBSTITUTE(SUBSTITUTE(cleaned_data[[#This Row],[Phone]],"(",""),")","")," ","")</f>
        <v>682534-2511</v>
      </c>
      <c r="H15" s="4" t="str">
        <f>raw_data[[#This Row],[Street Address]]</f>
        <v>1572 Quis Rd.</v>
      </c>
      <c r="I15" s="4" t="str">
        <f>TRIM(MID(cleaned_data[[#This Row],[Street Address]],FIND(" ",cleaned_data[[#This Row],[Street Address]])+1,LEN(cleaned_data[[#This Row],[Street Address]])))</f>
        <v>Quis Rd.</v>
      </c>
      <c r="J15" s="15" t="str">
        <f>raw_data[[#This Row],[Zipcode]]</f>
        <v>98293</v>
      </c>
      <c r="K15" s="4" t="str">
        <f>cleaned_data[[#This Row],[Zipcode]]&amp;" - "&amp;cleaned_data[[#This Row],[Street Name]]</f>
        <v>98293 - Quis Rd.</v>
      </c>
      <c r="L15" s="4" t="str">
        <f>LEFT(cleaned_data[[#This Row],[First Name]],3)&amp;LEFT(cleaned_data[[#This Row],[Last Name]],3)&amp;cleaned_data[[#This Row],[Area Code]]</f>
        <v>WhiBle682</v>
      </c>
      <c r="M15" s="4" t="str">
        <f>SUBSTITUTE(cleaned_data[[#This Row],[Street Address]],"St.","Street")</f>
        <v>1572 Quis Rd.</v>
      </c>
      <c r="N15" s="4" t="str">
        <f>LEFT(cleaned_data[[#This Row],[Street Address]],FIND(" ",cleaned_data[[#This Row],[Street Address]])-1)</f>
        <v>1572</v>
      </c>
      <c r="O15" s="16">
        <f>raw_data[[#This Row],[Req Date]]</f>
        <v>41654</v>
      </c>
      <c r="P15" s="4">
        <f>YEAR(cleaned_data[[#This Row],[Req Date]])</f>
        <v>2014</v>
      </c>
      <c r="Q15" s="4">
        <f>MONTH(cleaned_data[[#This Row],[Req Date]])</f>
        <v>1</v>
      </c>
      <c r="R15" s="4">
        <f>DAY(cleaned_data[[#This Row],[Req Date]])</f>
        <v>15</v>
      </c>
    </row>
    <row r="16" spans="1:36" ht="15.6" x14ac:dyDescent="0.25">
      <c r="A16" s="4" t="str">
        <f>raw_data[[#This Row],[First Name]]</f>
        <v>Ronan</v>
      </c>
      <c r="B16" s="4" t="str">
        <f>raw_data[[#This Row],[Last Name]]</f>
        <v>Hayden</v>
      </c>
      <c r="C16" s="4" t="str">
        <f>TRIM(cleaned_data[[#This Row],[First Name]]&amp; " "&amp;cleaned_data[[#This Row],[Last Name]])</f>
        <v>Ronan Hayden</v>
      </c>
      <c r="D16" s="4" t="str">
        <f>raw_data[[#This Row],[Phone]]</f>
        <v>(781) 673-2800</v>
      </c>
      <c r="E16" s="4" t="str">
        <f>MID(cleaned_data[[#This Row],[Phone]],FIND("(",cleaned_data[[#This Row],[Phone]])+1,3)</f>
        <v>781</v>
      </c>
      <c r="F16" s="4" t="str">
        <f>RIGHT(SUBSTITUTE(cleaned_data[[#This Row],[Phone]],"-",""),7)</f>
        <v>6732800</v>
      </c>
      <c r="G16" s="4" t="str">
        <f>SUBSTITUTE(SUBSTITUTE(SUBSTITUTE(cleaned_data[[#This Row],[Phone]],"(",""),")","")," ","")</f>
        <v>781673-2800</v>
      </c>
      <c r="H16" s="4" t="str">
        <f>raw_data[[#This Row],[Street Address]]</f>
        <v>627-8645 Sagittis Rd.</v>
      </c>
      <c r="I16" s="4" t="str">
        <f>TRIM(MID(cleaned_data[[#This Row],[Street Address]],FIND(" ",cleaned_data[[#This Row],[Street Address]])+1,LEN(cleaned_data[[#This Row],[Street Address]])))</f>
        <v>Sagittis Rd.</v>
      </c>
      <c r="J16" s="15" t="str">
        <f>raw_data[[#This Row],[Zipcode]]</f>
        <v>02920</v>
      </c>
      <c r="K16" s="4" t="str">
        <f>cleaned_data[[#This Row],[Zipcode]]&amp;" - "&amp;cleaned_data[[#This Row],[Street Name]]</f>
        <v>02920 - Sagittis Rd.</v>
      </c>
      <c r="L16" s="4" t="str">
        <f>LEFT(cleaned_data[[#This Row],[First Name]],3)&amp;LEFT(cleaned_data[[#This Row],[Last Name]],3)&amp;cleaned_data[[#This Row],[Area Code]]</f>
        <v>RonHay781</v>
      </c>
      <c r="M16" s="4" t="str">
        <f>SUBSTITUTE(cleaned_data[[#This Row],[Street Address]],"St.","Street")</f>
        <v>627-8645 Sagittis Rd.</v>
      </c>
      <c r="N16" s="4" t="str">
        <f>LEFT(cleaned_data[[#This Row],[Street Address]],FIND(" ",cleaned_data[[#This Row],[Street Address]])-1)</f>
        <v>627-8645</v>
      </c>
      <c r="O16" s="16">
        <f>raw_data[[#This Row],[Req Date]]</f>
        <v>41631</v>
      </c>
      <c r="P16" s="4">
        <f>YEAR(cleaned_data[[#This Row],[Req Date]])</f>
        <v>2013</v>
      </c>
      <c r="Q16" s="4">
        <f>MONTH(cleaned_data[[#This Row],[Req Date]])</f>
        <v>12</v>
      </c>
      <c r="R16" s="4">
        <f>DAY(cleaned_data[[#This Row],[Req Date]])</f>
        <v>23</v>
      </c>
    </row>
    <row r="17" spans="1:18" ht="15.6" x14ac:dyDescent="0.25">
      <c r="A17" s="4" t="str">
        <f>raw_data[[#This Row],[First Name]]</f>
        <v>Oleg</v>
      </c>
      <c r="B17" s="4" t="str">
        <f>raw_data[[#This Row],[Last Name]]</f>
        <v>Ballard</v>
      </c>
      <c r="C17" s="4" t="str">
        <f>TRIM(cleaned_data[[#This Row],[First Name]]&amp; " "&amp;cleaned_data[[#This Row],[Last Name]])</f>
        <v>Oleg Ballard</v>
      </c>
      <c r="D17" s="4" t="str">
        <f>raw_data[[#This Row],[Phone]]</f>
        <v>(697) 243-0509</v>
      </c>
      <c r="E17" s="4" t="str">
        <f>MID(cleaned_data[[#This Row],[Phone]],FIND("(",cleaned_data[[#This Row],[Phone]])+1,3)</f>
        <v>697</v>
      </c>
      <c r="F17" s="4" t="str">
        <f>RIGHT(SUBSTITUTE(cleaned_data[[#This Row],[Phone]],"-",""),7)</f>
        <v>2430509</v>
      </c>
      <c r="G17" s="4" t="str">
        <f>SUBSTITUTE(SUBSTITUTE(SUBSTITUTE(cleaned_data[[#This Row],[Phone]],"(",""),")","")," ","")</f>
        <v>697243-0509</v>
      </c>
      <c r="H17" s="4" t="str">
        <f>raw_data[[#This Row],[Street Address]]</f>
        <v>9024 Nulla Ave.</v>
      </c>
      <c r="I17" s="4" t="str">
        <f>TRIM(MID(cleaned_data[[#This Row],[Street Address]],FIND(" ",cleaned_data[[#This Row],[Street Address]])+1,LEN(cleaned_data[[#This Row],[Street Address]])))</f>
        <v>Nulla Ave.</v>
      </c>
      <c r="J17" s="15" t="str">
        <f>raw_data[[#This Row],[Zipcode]]</f>
        <v>00501</v>
      </c>
      <c r="K17" s="4" t="str">
        <f>cleaned_data[[#This Row],[Zipcode]]&amp;" - "&amp;cleaned_data[[#This Row],[Street Name]]</f>
        <v>00501 - Nulla Ave.</v>
      </c>
      <c r="L17" s="4" t="str">
        <f>LEFT(cleaned_data[[#This Row],[First Name]],3)&amp;LEFT(cleaned_data[[#This Row],[Last Name]],3)&amp;cleaned_data[[#This Row],[Area Code]]</f>
        <v>OleBal697</v>
      </c>
      <c r="M17" s="4" t="str">
        <f>SUBSTITUTE(cleaned_data[[#This Row],[Street Address]],"St.","Street")</f>
        <v>9024 Nulla Ave.</v>
      </c>
      <c r="N17" s="4" t="str">
        <f>LEFT(cleaned_data[[#This Row],[Street Address]],FIND(" ",cleaned_data[[#This Row],[Street Address]])-1)</f>
        <v>9024</v>
      </c>
      <c r="O17" s="16">
        <f>raw_data[[#This Row],[Req Date]]</f>
        <v>41647</v>
      </c>
      <c r="P17" s="4">
        <f>YEAR(cleaned_data[[#This Row],[Req Date]])</f>
        <v>2014</v>
      </c>
      <c r="Q17" s="4">
        <f>MONTH(cleaned_data[[#This Row],[Req Date]])</f>
        <v>1</v>
      </c>
      <c r="R17" s="4">
        <f>DAY(cleaned_data[[#This Row],[Req Date]])</f>
        <v>8</v>
      </c>
    </row>
    <row r="18" spans="1:18" ht="15.6" x14ac:dyDescent="0.25">
      <c r="A18" s="4" t="str">
        <f>raw_data[[#This Row],[First Name]]</f>
        <v>Chantale</v>
      </c>
      <c r="B18" s="4" t="str">
        <f>raw_data[[#This Row],[Last Name]]</f>
        <v>Weber</v>
      </c>
      <c r="C18" s="4" t="str">
        <f>TRIM(cleaned_data[[#This Row],[First Name]]&amp; " "&amp;cleaned_data[[#This Row],[Last Name]])</f>
        <v>Chantale Weber</v>
      </c>
      <c r="D18" s="4" t="str">
        <f>raw_data[[#This Row],[Phone]]</f>
        <v>(306) 622-6596</v>
      </c>
      <c r="E18" s="4" t="str">
        <f>MID(cleaned_data[[#This Row],[Phone]],FIND("(",cleaned_data[[#This Row],[Phone]])+1,3)</f>
        <v>306</v>
      </c>
      <c r="F18" s="4" t="str">
        <f>RIGHT(SUBSTITUTE(cleaned_data[[#This Row],[Phone]],"-",""),7)</f>
        <v>6226596</v>
      </c>
      <c r="G18" s="4" t="str">
        <f>SUBSTITUTE(SUBSTITUTE(SUBSTITUTE(cleaned_data[[#This Row],[Phone]],"(",""),")","")," ","")</f>
        <v>306622-6596</v>
      </c>
      <c r="H18" s="4" t="str">
        <f>raw_data[[#This Row],[Street Address]]</f>
        <v>1988 Pellentesque St.</v>
      </c>
      <c r="I18" s="4" t="str">
        <f>TRIM(MID(cleaned_data[[#This Row],[Street Address]],FIND(" ",cleaned_data[[#This Row],[Street Address]])+1,LEN(cleaned_data[[#This Row],[Street Address]])))</f>
        <v>Pellentesque St.</v>
      </c>
      <c r="J18" s="15" t="str">
        <f>raw_data[[#This Row],[Zipcode]]</f>
        <v>79256</v>
      </c>
      <c r="K18" s="4" t="str">
        <f>cleaned_data[[#This Row],[Zipcode]]&amp;" - "&amp;cleaned_data[[#This Row],[Street Name]]</f>
        <v>79256 - Pellentesque St.</v>
      </c>
      <c r="L18" s="4" t="str">
        <f>LEFT(cleaned_data[[#This Row],[First Name]],3)&amp;LEFT(cleaned_data[[#This Row],[Last Name]],3)&amp;cleaned_data[[#This Row],[Area Code]]</f>
        <v>ChaWeb306</v>
      </c>
      <c r="M18" s="4" t="str">
        <f>SUBSTITUTE(cleaned_data[[#This Row],[Street Address]],"St.","Street")</f>
        <v>1988 Pellentesque Street</v>
      </c>
      <c r="N18" s="4" t="str">
        <f>LEFT(cleaned_data[[#This Row],[Street Address]],FIND(" ",cleaned_data[[#This Row],[Street Address]])-1)</f>
        <v>1988</v>
      </c>
      <c r="O18" s="16">
        <f>raw_data[[#This Row],[Req Date]]</f>
        <v>41689</v>
      </c>
      <c r="P18" s="4">
        <f>YEAR(cleaned_data[[#This Row],[Req Date]])</f>
        <v>2014</v>
      </c>
      <c r="Q18" s="4">
        <f>MONTH(cleaned_data[[#This Row],[Req Date]])</f>
        <v>2</v>
      </c>
      <c r="R18" s="4">
        <f>DAY(cleaned_data[[#This Row],[Req Date]])</f>
        <v>19</v>
      </c>
    </row>
    <row r="19" spans="1:18" ht="15.6" x14ac:dyDescent="0.25">
      <c r="A19" s="4" t="str">
        <f>raw_data[[#This Row],[First Name]]</f>
        <v>Owen</v>
      </c>
      <c r="B19" s="4" t="str">
        <f>raw_data[[#This Row],[Last Name]]</f>
        <v>Chaney</v>
      </c>
      <c r="C19" s="4" t="str">
        <f>TRIM(cleaned_data[[#This Row],[First Name]]&amp; " "&amp;cleaned_data[[#This Row],[Last Name]])</f>
        <v>Owen Chaney</v>
      </c>
      <c r="D19" s="4" t="str">
        <f>raw_data[[#This Row],[Phone]]</f>
        <v>(572) 246-4184</v>
      </c>
      <c r="E19" s="4" t="str">
        <f>MID(cleaned_data[[#This Row],[Phone]],FIND("(",cleaned_data[[#This Row],[Phone]])+1,3)</f>
        <v>572</v>
      </c>
      <c r="F19" s="4" t="str">
        <f>RIGHT(SUBSTITUTE(cleaned_data[[#This Row],[Phone]],"-",""),7)</f>
        <v>2464184</v>
      </c>
      <c r="G19" s="4" t="str">
        <f>SUBSTITUTE(SUBSTITUTE(SUBSTITUTE(cleaned_data[[#This Row],[Phone]],"(",""),")","")," ","")</f>
        <v>572246-4184</v>
      </c>
      <c r="H19" s="4" t="str">
        <f>raw_data[[#This Row],[Street Address]]</f>
        <v>1541 Michigan Rd.</v>
      </c>
      <c r="I19" s="4" t="str">
        <f>TRIM(MID(cleaned_data[[#This Row],[Street Address]],FIND(" ",cleaned_data[[#This Row],[Street Address]])+1,LEN(cleaned_data[[#This Row],[Street Address]])))</f>
        <v>Michigan Rd.</v>
      </c>
      <c r="J19" s="15" t="str">
        <f>raw_data[[#This Row],[Zipcode]]</f>
        <v>17235</v>
      </c>
      <c r="K19" s="4" t="str">
        <f>cleaned_data[[#This Row],[Zipcode]]&amp;" - "&amp;cleaned_data[[#This Row],[Street Name]]</f>
        <v>17235 - Michigan Rd.</v>
      </c>
      <c r="L19" s="4" t="str">
        <f>LEFT(cleaned_data[[#This Row],[First Name]],3)&amp;LEFT(cleaned_data[[#This Row],[Last Name]],3)&amp;cleaned_data[[#This Row],[Area Code]]</f>
        <v>OweCha572</v>
      </c>
      <c r="M19" s="4" t="str">
        <f>SUBSTITUTE(cleaned_data[[#This Row],[Street Address]],"St.","Street")</f>
        <v>1541 Michigan Rd.</v>
      </c>
      <c r="N19" s="4" t="str">
        <f>LEFT(cleaned_data[[#This Row],[Street Address]],FIND(" ",cleaned_data[[#This Row],[Street Address]])-1)</f>
        <v>1541</v>
      </c>
      <c r="O19" s="16">
        <f>raw_data[[#This Row],[Req Date]]</f>
        <v>41646</v>
      </c>
      <c r="P19" s="4">
        <f>YEAR(cleaned_data[[#This Row],[Req Date]])</f>
        <v>2014</v>
      </c>
      <c r="Q19" s="4">
        <f>MONTH(cleaned_data[[#This Row],[Req Date]])</f>
        <v>1</v>
      </c>
      <c r="R19" s="4">
        <f>DAY(cleaned_data[[#This Row],[Req Date]])</f>
        <v>7</v>
      </c>
    </row>
    <row r="20" spans="1:18" ht="15.6" x14ac:dyDescent="0.25">
      <c r="A20" s="4" t="str">
        <f>raw_data[[#This Row],[First Name]]</f>
        <v>Yoko</v>
      </c>
      <c r="B20" s="4" t="str">
        <f>raw_data[[#This Row],[Last Name]]</f>
        <v>Richmond</v>
      </c>
      <c r="C20" s="4" t="str">
        <f>TRIM(cleaned_data[[#This Row],[First Name]]&amp; " "&amp;cleaned_data[[#This Row],[Last Name]])</f>
        <v>Yoko Richmond</v>
      </c>
      <c r="D20" s="4" t="str">
        <f>raw_data[[#This Row],[Phone]]</f>
        <v>(504) 843-3770</v>
      </c>
      <c r="E20" s="4" t="str">
        <f>MID(cleaned_data[[#This Row],[Phone]],FIND("(",cleaned_data[[#This Row],[Phone]])+1,3)</f>
        <v>504</v>
      </c>
      <c r="F20" s="4" t="str">
        <f>RIGHT(SUBSTITUTE(cleaned_data[[#This Row],[Phone]],"-",""),7)</f>
        <v>8433770</v>
      </c>
      <c r="G20" s="4" t="str">
        <f>SUBSTITUTE(SUBSTITUTE(SUBSTITUTE(cleaned_data[[#This Row],[Phone]],"(",""),")","")," ","")</f>
        <v>504843-3770</v>
      </c>
      <c r="H20" s="4" t="str">
        <f>raw_data[[#This Row],[Street Address]]</f>
        <v>3717 Quisque Ave.</v>
      </c>
      <c r="I20" s="4" t="str">
        <f>TRIM(MID(cleaned_data[[#This Row],[Street Address]],FIND(" ",cleaned_data[[#This Row],[Street Address]])+1,LEN(cleaned_data[[#This Row],[Street Address]])))</f>
        <v>Quisque Ave.</v>
      </c>
      <c r="J20" s="15" t="str">
        <f>raw_data[[#This Row],[Zipcode]]</f>
        <v>91001</v>
      </c>
      <c r="K20" s="4" t="str">
        <f>cleaned_data[[#This Row],[Zipcode]]&amp;" - "&amp;cleaned_data[[#This Row],[Street Name]]</f>
        <v>91001 - Quisque Ave.</v>
      </c>
      <c r="L20" s="4" t="str">
        <f>LEFT(cleaned_data[[#This Row],[First Name]],3)&amp;LEFT(cleaned_data[[#This Row],[Last Name]],3)&amp;cleaned_data[[#This Row],[Area Code]]</f>
        <v>YokRic504</v>
      </c>
      <c r="M20" s="4" t="str">
        <f>SUBSTITUTE(cleaned_data[[#This Row],[Street Address]],"St.","Street")</f>
        <v>3717 Quisque Ave.</v>
      </c>
      <c r="N20" s="4" t="str">
        <f>LEFT(cleaned_data[[#This Row],[Street Address]],FIND(" ",cleaned_data[[#This Row],[Street Address]])-1)</f>
        <v>3717</v>
      </c>
      <c r="O20" s="16">
        <f>raw_data[[#This Row],[Req Date]]</f>
        <v>41682</v>
      </c>
      <c r="P20" s="4">
        <f>YEAR(cleaned_data[[#This Row],[Req Date]])</f>
        <v>2014</v>
      </c>
      <c r="Q20" s="4">
        <f>MONTH(cleaned_data[[#This Row],[Req Date]])</f>
        <v>2</v>
      </c>
      <c r="R20" s="4">
        <f>DAY(cleaned_data[[#This Row],[Req Date]])</f>
        <v>12</v>
      </c>
    </row>
    <row r="21" spans="1:18" ht="15.6" x14ac:dyDescent="0.25">
      <c r="A21" s="4" t="str">
        <f>raw_data[[#This Row],[First Name]]</f>
        <v>Jolene</v>
      </c>
      <c r="B21" s="4" t="str">
        <f>raw_data[[#This Row],[Last Name]]</f>
        <v>Sears</v>
      </c>
      <c r="C21" s="4" t="str">
        <f>TRIM(cleaned_data[[#This Row],[First Name]]&amp; " "&amp;cleaned_data[[#This Row],[Last Name]])</f>
        <v>Jolene Sears</v>
      </c>
      <c r="D21" s="4" t="str">
        <f>raw_data[[#This Row],[Phone]]</f>
        <v>(858) 466-7817</v>
      </c>
      <c r="E21" s="4" t="str">
        <f>MID(cleaned_data[[#This Row],[Phone]],FIND("(",cleaned_data[[#This Row],[Phone]])+1,3)</f>
        <v>858</v>
      </c>
      <c r="F21" s="4" t="str">
        <f>RIGHT(SUBSTITUTE(cleaned_data[[#This Row],[Phone]],"-",""),7)</f>
        <v>4667817</v>
      </c>
      <c r="G21" s="4" t="str">
        <f>SUBSTITUTE(SUBSTITUTE(SUBSTITUTE(cleaned_data[[#This Row],[Phone]],"(",""),")","")," ","")</f>
        <v>858466-7817</v>
      </c>
      <c r="H21" s="4" t="str">
        <f>raw_data[[#This Row],[Street Address]]</f>
        <v>4366 Amet St.</v>
      </c>
      <c r="I21" s="4" t="str">
        <f>TRIM(MID(cleaned_data[[#This Row],[Street Address]],FIND(" ",cleaned_data[[#This Row],[Street Address]])+1,LEN(cleaned_data[[#This Row],[Street Address]])))</f>
        <v>Amet St.</v>
      </c>
      <c r="J21" s="15" t="str">
        <f>raw_data[[#This Row],[Zipcode]]</f>
        <v>05050</v>
      </c>
      <c r="K21" s="4" t="str">
        <f>cleaned_data[[#This Row],[Zipcode]]&amp;" - "&amp;cleaned_data[[#This Row],[Street Name]]</f>
        <v>05050 - Amet St.</v>
      </c>
      <c r="L21" s="4" t="str">
        <f>LEFT(cleaned_data[[#This Row],[First Name]],3)&amp;LEFT(cleaned_data[[#This Row],[Last Name]],3)&amp;cleaned_data[[#This Row],[Area Code]]</f>
        <v>JolSea858</v>
      </c>
      <c r="M21" s="4" t="str">
        <f>SUBSTITUTE(cleaned_data[[#This Row],[Street Address]],"St.","Street")</f>
        <v>4366 Amet Street</v>
      </c>
      <c r="N21" s="4" t="str">
        <f>LEFT(cleaned_data[[#This Row],[Street Address]],FIND(" ",cleaned_data[[#This Row],[Street Address]])-1)</f>
        <v>4366</v>
      </c>
      <c r="O21" s="16">
        <f>raw_data[[#This Row],[Req Date]]</f>
        <v>41623</v>
      </c>
      <c r="P21" s="4">
        <f>YEAR(cleaned_data[[#This Row],[Req Date]])</f>
        <v>2013</v>
      </c>
      <c r="Q21" s="4">
        <f>MONTH(cleaned_data[[#This Row],[Req Date]])</f>
        <v>12</v>
      </c>
      <c r="R21" s="4">
        <f>DAY(cleaned_data[[#This Row],[Req Date]])</f>
        <v>15</v>
      </c>
    </row>
    <row r="22" spans="1:18" ht="15.6" x14ac:dyDescent="0.25">
      <c r="A22" s="4" t="str">
        <f>raw_data[[#This Row],[First Name]]</f>
        <v>Griffith</v>
      </c>
      <c r="B22" s="4" t="str">
        <f>raw_data[[#This Row],[Last Name]]</f>
        <v>Lawrence</v>
      </c>
      <c r="C22" s="4" t="str">
        <f>TRIM(cleaned_data[[#This Row],[First Name]]&amp; " "&amp;cleaned_data[[#This Row],[Last Name]])</f>
        <v>Griffith Lawrence</v>
      </c>
      <c r="D22" s="4" t="str">
        <f>raw_data[[#This Row],[Phone]]</f>
        <v>(804) 309-8173</v>
      </c>
      <c r="E22" s="4" t="str">
        <f>MID(cleaned_data[[#This Row],[Phone]],FIND("(",cleaned_data[[#This Row],[Phone]])+1,3)</f>
        <v>804</v>
      </c>
      <c r="F22" s="4" t="str">
        <f>RIGHT(SUBSTITUTE(cleaned_data[[#This Row],[Phone]],"-",""),7)</f>
        <v>3098173</v>
      </c>
      <c r="G22" s="4" t="str">
        <f>SUBSTITUTE(SUBSTITUTE(SUBSTITUTE(cleaned_data[[#This Row],[Phone]],"(",""),")","")," ","")</f>
        <v>804309-8173</v>
      </c>
      <c r="H22" s="4" t="str">
        <f>raw_data[[#This Row],[Street Address]]</f>
        <v>9358 Euclid St.</v>
      </c>
      <c r="I22" s="4" t="str">
        <f>TRIM(MID(cleaned_data[[#This Row],[Street Address]],FIND(" ",cleaned_data[[#This Row],[Street Address]])+1,LEN(cleaned_data[[#This Row],[Street Address]])))</f>
        <v>Euclid St.</v>
      </c>
      <c r="J22" s="15" t="str">
        <f>raw_data[[#This Row],[Zipcode]]</f>
        <v>27022</v>
      </c>
      <c r="K22" s="4" t="str">
        <f>cleaned_data[[#This Row],[Zipcode]]&amp;" - "&amp;cleaned_data[[#This Row],[Street Name]]</f>
        <v>27022 - Euclid St.</v>
      </c>
      <c r="L22" s="4" t="str">
        <f>LEFT(cleaned_data[[#This Row],[First Name]],3)&amp;LEFT(cleaned_data[[#This Row],[Last Name]],3)&amp;cleaned_data[[#This Row],[Area Code]]</f>
        <v>GriLaw804</v>
      </c>
      <c r="M22" s="4" t="str">
        <f>SUBSTITUTE(cleaned_data[[#This Row],[Street Address]],"St.","Street")</f>
        <v>9358 Euclid Street</v>
      </c>
      <c r="N22" s="4" t="str">
        <f>LEFT(cleaned_data[[#This Row],[Street Address]],FIND(" ",cleaned_data[[#This Row],[Street Address]])-1)</f>
        <v>9358</v>
      </c>
      <c r="O22" s="16">
        <f>raw_data[[#This Row],[Req Date]]</f>
        <v>41639</v>
      </c>
      <c r="P22" s="4">
        <f>YEAR(cleaned_data[[#This Row],[Req Date]])</f>
        <v>2013</v>
      </c>
      <c r="Q22" s="4">
        <f>MONTH(cleaned_data[[#This Row],[Req Date]])</f>
        <v>12</v>
      </c>
      <c r="R22" s="4">
        <f>DAY(cleaned_data[[#This Row],[Req Date]])</f>
        <v>31</v>
      </c>
    </row>
    <row r="23" spans="1:18" ht="15.6" x14ac:dyDescent="0.25">
      <c r="A23" s="4" t="str">
        <f>raw_data[[#This Row],[First Name]]</f>
        <v>Sade</v>
      </c>
      <c r="B23" s="4" t="str">
        <f>raw_data[[#This Row],[Last Name]]</f>
        <v>Ortega</v>
      </c>
      <c r="C23" s="4" t="str">
        <f>TRIM(cleaned_data[[#This Row],[First Name]]&amp; " "&amp;cleaned_data[[#This Row],[Last Name]])</f>
        <v>Sade Ortega</v>
      </c>
      <c r="D23" s="4" t="str">
        <f>raw_data[[#This Row],[Phone]]</f>
        <v>(818) 849-3074</v>
      </c>
      <c r="E23" s="4" t="str">
        <f>MID(cleaned_data[[#This Row],[Phone]],FIND("(",cleaned_data[[#This Row],[Phone]])+1,3)</f>
        <v>818</v>
      </c>
      <c r="F23" s="4" t="str">
        <f>RIGHT(SUBSTITUTE(cleaned_data[[#This Row],[Phone]],"-",""),7)</f>
        <v>8493074</v>
      </c>
      <c r="G23" s="4" t="str">
        <f>SUBSTITUTE(SUBSTITUTE(SUBSTITUTE(cleaned_data[[#This Row],[Phone]],"(",""),")","")," ","")</f>
        <v>818849-3074</v>
      </c>
      <c r="H23" s="4" t="str">
        <f>raw_data[[#This Row],[Street Address]]</f>
        <v>8642 Ipsum St.</v>
      </c>
      <c r="I23" s="4" t="str">
        <f>TRIM(MID(cleaned_data[[#This Row],[Street Address]],FIND(" ",cleaned_data[[#This Row],[Street Address]])+1,LEN(cleaned_data[[#This Row],[Street Address]])))</f>
        <v>Ipsum St.</v>
      </c>
      <c r="J23" s="15" t="str">
        <f>raw_data[[#This Row],[Zipcode]]</f>
        <v>93004</v>
      </c>
      <c r="K23" s="4" t="str">
        <f>cleaned_data[[#This Row],[Zipcode]]&amp;" - "&amp;cleaned_data[[#This Row],[Street Name]]</f>
        <v>93004 - Ipsum St.</v>
      </c>
      <c r="L23" s="4" t="str">
        <f>LEFT(cleaned_data[[#This Row],[First Name]],3)&amp;LEFT(cleaned_data[[#This Row],[Last Name]],3)&amp;cleaned_data[[#This Row],[Area Code]]</f>
        <v>SadOrt818</v>
      </c>
      <c r="M23" s="4" t="str">
        <f>SUBSTITUTE(cleaned_data[[#This Row],[Street Address]],"St.","Street")</f>
        <v>8642 Ipsum Street</v>
      </c>
      <c r="N23" s="4" t="str">
        <f>LEFT(cleaned_data[[#This Row],[Street Address]],FIND(" ",cleaned_data[[#This Row],[Street Address]])-1)</f>
        <v>8642</v>
      </c>
      <c r="O23" s="16">
        <f>raw_data[[#This Row],[Req Date]]</f>
        <v>41652</v>
      </c>
      <c r="P23" s="4">
        <f>YEAR(cleaned_data[[#This Row],[Req Date]])</f>
        <v>2014</v>
      </c>
      <c r="Q23" s="4">
        <f>MONTH(cleaned_data[[#This Row],[Req Date]])</f>
        <v>1</v>
      </c>
      <c r="R23" s="4">
        <f>DAY(cleaned_data[[#This Row],[Req Date]])</f>
        <v>13</v>
      </c>
    </row>
    <row r="24" spans="1:18" ht="15.6" x14ac:dyDescent="0.25">
      <c r="A24" s="4" t="str">
        <f>raw_data[[#This Row],[First Name]]</f>
        <v>Germaine</v>
      </c>
      <c r="B24" s="4" t="str">
        <f>raw_data[[#This Row],[Last Name]]</f>
        <v>Drake</v>
      </c>
      <c r="C24" s="4" t="str">
        <f>TRIM(cleaned_data[[#This Row],[First Name]]&amp; " "&amp;cleaned_data[[#This Row],[Last Name]])</f>
        <v>Germaine Drake</v>
      </c>
      <c r="D24" s="4" t="str">
        <f>raw_data[[#This Row],[Phone]]</f>
        <v>(201) 380-0192</v>
      </c>
      <c r="E24" s="4" t="str">
        <f>MID(cleaned_data[[#This Row],[Phone]],FIND("(",cleaned_data[[#This Row],[Phone]])+1,3)</f>
        <v>201</v>
      </c>
      <c r="F24" s="4" t="str">
        <f>RIGHT(SUBSTITUTE(cleaned_data[[#This Row],[Phone]],"-",""),7)</f>
        <v>3800192</v>
      </c>
      <c r="G24" s="4" t="str">
        <f>SUBSTITUTE(SUBSTITUTE(SUBSTITUTE(cleaned_data[[#This Row],[Phone]],"(",""),")","")," ","")</f>
        <v>201380-0192</v>
      </c>
      <c r="H24" s="4" t="str">
        <f>raw_data[[#This Row],[Street Address]]</f>
        <v>1258 Solitude Ave.</v>
      </c>
      <c r="I24" s="4" t="str">
        <f>TRIM(MID(cleaned_data[[#This Row],[Street Address]],FIND(" ",cleaned_data[[#This Row],[Street Address]])+1,LEN(cleaned_data[[#This Row],[Street Address]])))</f>
        <v>Solitude Ave.</v>
      </c>
      <c r="J24" s="15" t="str">
        <f>raw_data[[#This Row],[Zipcode]]</f>
        <v>17231</v>
      </c>
      <c r="K24" s="4" t="str">
        <f>cleaned_data[[#This Row],[Zipcode]]&amp;" - "&amp;cleaned_data[[#This Row],[Street Name]]</f>
        <v>17231 - Solitude Ave.</v>
      </c>
      <c r="L24" s="4" t="str">
        <f>LEFT(cleaned_data[[#This Row],[First Name]],3)&amp;LEFT(cleaned_data[[#This Row],[Last Name]],3)&amp;cleaned_data[[#This Row],[Area Code]]</f>
        <v>GerDra201</v>
      </c>
      <c r="M24" s="4" t="str">
        <f>SUBSTITUTE(cleaned_data[[#This Row],[Street Address]],"St.","Street")</f>
        <v>1258 Solitude Ave.</v>
      </c>
      <c r="N24" s="4" t="str">
        <f>LEFT(cleaned_data[[#This Row],[Street Address]],FIND(" ",cleaned_data[[#This Row],[Street Address]])-1)</f>
        <v>1258</v>
      </c>
      <c r="O24" s="16">
        <f>raw_data[[#This Row],[Req Date]]</f>
        <v>41614</v>
      </c>
      <c r="P24" s="4">
        <f>YEAR(cleaned_data[[#This Row],[Req Date]])</f>
        <v>2013</v>
      </c>
      <c r="Q24" s="4">
        <f>MONTH(cleaned_data[[#This Row],[Req Date]])</f>
        <v>12</v>
      </c>
      <c r="R24" s="4">
        <f>DAY(cleaned_data[[#This Row],[Req Date]])</f>
        <v>6</v>
      </c>
    </row>
    <row r="25" spans="1:18" ht="15.6" x14ac:dyDescent="0.25">
      <c r="A25" s="4" t="str">
        <f>raw_data[[#This Row],[First Name]]</f>
        <v>Maxwell</v>
      </c>
      <c r="B25" s="4" t="str">
        <f>raw_data[[#This Row],[Last Name]]</f>
        <v>Mcfarland</v>
      </c>
      <c r="C25" s="4" t="str">
        <f>TRIM(cleaned_data[[#This Row],[First Name]]&amp; " "&amp;cleaned_data[[#This Row],[Last Name]])</f>
        <v>Maxwell Mcfarland</v>
      </c>
      <c r="D25" s="4" t="str">
        <f>raw_data[[#This Row],[Phone]]</f>
        <v>(727) 370-4214</v>
      </c>
      <c r="E25" s="4" t="str">
        <f>MID(cleaned_data[[#This Row],[Phone]],FIND("(",cleaned_data[[#This Row],[Phone]])+1,3)</f>
        <v>727</v>
      </c>
      <c r="F25" s="4" t="str">
        <f>RIGHT(SUBSTITUTE(cleaned_data[[#This Row],[Phone]],"-",""),7)</f>
        <v>3704214</v>
      </c>
      <c r="G25" s="4" t="str">
        <f>SUBSTITUTE(SUBSTITUTE(SUBSTITUTE(cleaned_data[[#This Row],[Phone]],"(",""),")","")," ","")</f>
        <v>727370-4214</v>
      </c>
      <c r="H25" s="4" t="str">
        <f>raw_data[[#This Row],[Street Address]]</f>
        <v>5574 Neque Rd.</v>
      </c>
      <c r="I25" s="4" t="str">
        <f>TRIM(MID(cleaned_data[[#This Row],[Street Address]],FIND(" ",cleaned_data[[#This Row],[Street Address]])+1,LEN(cleaned_data[[#This Row],[Street Address]])))</f>
        <v>Neque Rd.</v>
      </c>
      <c r="J25" s="15" t="str">
        <f>raw_data[[#This Row],[Zipcode]]</f>
        <v>17232</v>
      </c>
      <c r="K25" s="4" t="str">
        <f>cleaned_data[[#This Row],[Zipcode]]&amp;" - "&amp;cleaned_data[[#This Row],[Street Name]]</f>
        <v>17232 - Neque Rd.</v>
      </c>
      <c r="L25" s="4" t="str">
        <f>LEFT(cleaned_data[[#This Row],[First Name]],3)&amp;LEFT(cleaned_data[[#This Row],[Last Name]],3)&amp;cleaned_data[[#This Row],[Area Code]]</f>
        <v>MaxMcf727</v>
      </c>
      <c r="M25" s="4" t="str">
        <f>SUBSTITUTE(cleaned_data[[#This Row],[Street Address]],"St.","Street")</f>
        <v>5574 Neque Rd.</v>
      </c>
      <c r="N25" s="4" t="str">
        <f>LEFT(cleaned_data[[#This Row],[Street Address]],FIND(" ",cleaned_data[[#This Row],[Street Address]])-1)</f>
        <v>5574</v>
      </c>
      <c r="O25" s="16">
        <f>raw_data[[#This Row],[Req Date]]</f>
        <v>41663</v>
      </c>
      <c r="P25" s="4">
        <f>YEAR(cleaned_data[[#This Row],[Req Date]])</f>
        <v>2014</v>
      </c>
      <c r="Q25" s="4">
        <f>MONTH(cleaned_data[[#This Row],[Req Date]])</f>
        <v>1</v>
      </c>
      <c r="R25" s="4">
        <f>DAY(cleaned_data[[#This Row],[Req Date]])</f>
        <v>24</v>
      </c>
    </row>
    <row r="26" spans="1:18" ht="15.6" x14ac:dyDescent="0.25">
      <c r="A26" s="4" t="str">
        <f>raw_data[[#This Row],[First Name]]</f>
        <v>Jin</v>
      </c>
      <c r="B26" s="4" t="str">
        <f>raw_data[[#This Row],[Last Name]]</f>
        <v>Romero</v>
      </c>
      <c r="C26" s="4" t="str">
        <f>TRIM(cleaned_data[[#This Row],[First Name]]&amp; " "&amp;cleaned_data[[#This Row],[Last Name]])</f>
        <v>Jin Romero</v>
      </c>
      <c r="D26" s="4" t="str">
        <f>raw_data[[#This Row],[Phone]]</f>
        <v>(219) 580-4366</v>
      </c>
      <c r="E26" s="4" t="str">
        <f>MID(cleaned_data[[#This Row],[Phone]],FIND("(",cleaned_data[[#This Row],[Phone]])+1,3)</f>
        <v>219</v>
      </c>
      <c r="F26" s="4" t="str">
        <f>RIGHT(SUBSTITUTE(cleaned_data[[#This Row],[Phone]],"-",""),7)</f>
        <v>5804366</v>
      </c>
      <c r="G26" s="4" t="str">
        <f>SUBSTITUTE(SUBSTITUTE(SUBSTITUTE(cleaned_data[[#This Row],[Phone]],"(",""),")","")," ","")</f>
        <v>219580-4366</v>
      </c>
      <c r="H26" s="4" t="str">
        <f>raw_data[[#This Row],[Street Address]]</f>
        <v>260-3711 Enim Ave.</v>
      </c>
      <c r="I26" s="4" t="str">
        <f>TRIM(MID(cleaned_data[[#This Row],[Street Address]],FIND(" ",cleaned_data[[#This Row],[Street Address]])+1,LEN(cleaned_data[[#This Row],[Street Address]])))</f>
        <v>Enim Ave.</v>
      </c>
      <c r="J26" s="15" t="str">
        <f>raw_data[[#This Row],[Zipcode]]</f>
        <v>17233</v>
      </c>
      <c r="K26" s="4" t="str">
        <f>cleaned_data[[#This Row],[Zipcode]]&amp;" - "&amp;cleaned_data[[#This Row],[Street Name]]</f>
        <v>17233 - Enim Ave.</v>
      </c>
      <c r="L26" s="4" t="str">
        <f>LEFT(cleaned_data[[#This Row],[First Name]],3)&amp;LEFT(cleaned_data[[#This Row],[Last Name]],3)&amp;cleaned_data[[#This Row],[Area Code]]</f>
        <v>JinRom219</v>
      </c>
      <c r="M26" s="4" t="str">
        <f>SUBSTITUTE(cleaned_data[[#This Row],[Street Address]],"St.","Street")</f>
        <v>260-3711 Enim Ave.</v>
      </c>
      <c r="N26" s="4" t="str">
        <f>LEFT(cleaned_data[[#This Row],[Street Address]],FIND(" ",cleaned_data[[#This Row],[Street Address]])-1)</f>
        <v>260-3711</v>
      </c>
      <c r="O26" s="16">
        <f>raw_data[[#This Row],[Req Date]]</f>
        <v>41621</v>
      </c>
      <c r="P26" s="4">
        <f>YEAR(cleaned_data[[#This Row],[Req Date]])</f>
        <v>2013</v>
      </c>
      <c r="Q26" s="4">
        <f>MONTH(cleaned_data[[#This Row],[Req Date]])</f>
        <v>12</v>
      </c>
      <c r="R26" s="4">
        <f>DAY(cleaned_data[[#This Row],[Req Date]])</f>
        <v>13</v>
      </c>
    </row>
    <row r="27" spans="1:18" ht="15.6" x14ac:dyDescent="0.25">
      <c r="A27" s="4" t="str">
        <f>raw_data[[#This Row],[First Name]]</f>
        <v>Garrett</v>
      </c>
      <c r="B27" s="4" t="str">
        <f>raw_data[[#This Row],[Last Name]]</f>
        <v>Serrano</v>
      </c>
      <c r="C27" s="4" t="str">
        <f>TRIM(cleaned_data[[#This Row],[First Name]]&amp; " "&amp;cleaned_data[[#This Row],[Last Name]])</f>
        <v>Garrett Serrano</v>
      </c>
      <c r="D27" s="4" t="str">
        <f>raw_data[[#This Row],[Phone]]</f>
        <v>(721) 346-8780</v>
      </c>
      <c r="E27" s="4" t="str">
        <f>MID(cleaned_data[[#This Row],[Phone]],FIND("(",cleaned_data[[#This Row],[Phone]])+1,3)</f>
        <v>721</v>
      </c>
      <c r="F27" s="4" t="str">
        <f>RIGHT(SUBSTITUTE(cleaned_data[[#This Row],[Phone]],"-",""),7)</f>
        <v>3468780</v>
      </c>
      <c r="G27" s="4" t="str">
        <f>SUBSTITUTE(SUBSTITUTE(SUBSTITUTE(cleaned_data[[#This Row],[Phone]],"(",""),")","")," ","")</f>
        <v>721346-8780</v>
      </c>
      <c r="H27" s="4" t="str">
        <f>raw_data[[#This Row],[Street Address]]</f>
        <v>7203 Quis Road</v>
      </c>
      <c r="I27" s="4" t="str">
        <f>TRIM(MID(cleaned_data[[#This Row],[Street Address]],FIND(" ",cleaned_data[[#This Row],[Street Address]])+1,LEN(cleaned_data[[#This Row],[Street Address]])))</f>
        <v>Quis Road</v>
      </c>
      <c r="J27" s="15" t="str">
        <f>raw_data[[#This Row],[Zipcode]]</f>
        <v>17235</v>
      </c>
      <c r="K27" s="4" t="str">
        <f>cleaned_data[[#This Row],[Zipcode]]&amp;" - "&amp;cleaned_data[[#This Row],[Street Name]]</f>
        <v>17235 - Quis Road</v>
      </c>
      <c r="L27" s="4" t="str">
        <f>LEFT(cleaned_data[[#This Row],[First Name]],3)&amp;LEFT(cleaned_data[[#This Row],[Last Name]],3)&amp;cleaned_data[[#This Row],[Area Code]]</f>
        <v>GarSer721</v>
      </c>
      <c r="M27" s="4" t="str">
        <f>SUBSTITUTE(cleaned_data[[#This Row],[Street Address]],"St.","Street")</f>
        <v>7203 Quis Road</v>
      </c>
      <c r="N27" s="4" t="str">
        <f>LEFT(cleaned_data[[#This Row],[Street Address]],FIND(" ",cleaned_data[[#This Row],[Street Address]])-1)</f>
        <v>7203</v>
      </c>
      <c r="O27" s="16">
        <f>raw_data[[#This Row],[Req Date]]</f>
        <v>41677</v>
      </c>
      <c r="P27" s="4">
        <f>YEAR(cleaned_data[[#This Row],[Req Date]])</f>
        <v>2014</v>
      </c>
      <c r="Q27" s="4">
        <f>MONTH(cleaned_data[[#This Row],[Req Date]])</f>
        <v>2</v>
      </c>
      <c r="R27" s="4">
        <f>DAY(cleaned_data[[#This Row],[Req Date]])</f>
        <v>7</v>
      </c>
    </row>
    <row r="28" spans="1:18" ht="15.6" x14ac:dyDescent="0.25">
      <c r="A28" s="4" t="str">
        <f>raw_data[[#This Row],[First Name]]</f>
        <v>Clark</v>
      </c>
      <c r="B28" s="4" t="str">
        <f>raw_data[[#This Row],[Last Name]]</f>
        <v>Hendricks</v>
      </c>
      <c r="C28" s="4" t="str">
        <f>TRIM(cleaned_data[[#This Row],[First Name]]&amp; " "&amp;cleaned_data[[#This Row],[Last Name]])</f>
        <v>Clark Hendricks</v>
      </c>
      <c r="D28" s="4" t="str">
        <f>raw_data[[#This Row],[Phone]]</f>
        <v>(758) 586-7504</v>
      </c>
      <c r="E28" s="4" t="str">
        <f>MID(cleaned_data[[#This Row],[Phone]],FIND("(",cleaned_data[[#This Row],[Phone]])+1,3)</f>
        <v>758</v>
      </c>
      <c r="F28" s="4" t="str">
        <f>RIGHT(SUBSTITUTE(cleaned_data[[#This Row],[Phone]],"-",""),7)</f>
        <v>5867504</v>
      </c>
      <c r="G28" s="4" t="str">
        <f>SUBSTITUTE(SUBSTITUTE(SUBSTITUTE(cleaned_data[[#This Row],[Phone]],"(",""),")","")," ","")</f>
        <v>758586-7504</v>
      </c>
      <c r="H28" s="4" t="str">
        <f>raw_data[[#This Row],[Street Address]]</f>
        <v>3389 Egestas St.</v>
      </c>
      <c r="I28" s="4" t="str">
        <f>TRIM(MID(cleaned_data[[#This Row],[Street Address]],FIND(" ",cleaned_data[[#This Row],[Street Address]])+1,LEN(cleaned_data[[#This Row],[Street Address]])))</f>
        <v>Egestas St.</v>
      </c>
      <c r="J28" s="15" t="str">
        <f>raw_data[[#This Row],[Zipcode]]</f>
        <v>27198</v>
      </c>
      <c r="K28" s="4" t="str">
        <f>cleaned_data[[#This Row],[Zipcode]]&amp;" - "&amp;cleaned_data[[#This Row],[Street Name]]</f>
        <v>27198 - Egestas St.</v>
      </c>
      <c r="L28" s="4" t="str">
        <f>LEFT(cleaned_data[[#This Row],[First Name]],3)&amp;LEFT(cleaned_data[[#This Row],[Last Name]],3)&amp;cleaned_data[[#This Row],[Area Code]]</f>
        <v>ClaHen758</v>
      </c>
      <c r="M28" s="4" t="str">
        <f>SUBSTITUTE(cleaned_data[[#This Row],[Street Address]],"St.","Street")</f>
        <v>3389 Egestas Street</v>
      </c>
      <c r="N28" s="4" t="str">
        <f>LEFT(cleaned_data[[#This Row],[Street Address]],FIND(" ",cleaned_data[[#This Row],[Street Address]])-1)</f>
        <v>3389</v>
      </c>
      <c r="O28" s="16">
        <f>raw_data[[#This Row],[Req Date]]</f>
        <v>41643</v>
      </c>
      <c r="P28" s="4">
        <f>YEAR(cleaned_data[[#This Row],[Req Date]])</f>
        <v>2014</v>
      </c>
      <c r="Q28" s="4">
        <f>MONTH(cleaned_data[[#This Row],[Req Date]])</f>
        <v>1</v>
      </c>
      <c r="R28" s="4">
        <f>DAY(cleaned_data[[#This Row],[Req Date]])</f>
        <v>4</v>
      </c>
    </row>
    <row r="29" spans="1:18" ht="15.6" x14ac:dyDescent="0.25">
      <c r="A29" s="4" t="str">
        <f>raw_data[[#This Row],[First Name]]</f>
        <v>Maite</v>
      </c>
      <c r="B29" s="4" t="str">
        <f>raw_data[[#This Row],[Last Name]]</f>
        <v>Byrd</v>
      </c>
      <c r="C29" s="4" t="str">
        <f>TRIM(cleaned_data[[#This Row],[First Name]]&amp; " "&amp;cleaned_data[[#This Row],[Last Name]])</f>
        <v>Maite Byrd</v>
      </c>
      <c r="D29" s="4" t="str">
        <f>raw_data[[#This Row],[Phone]]</f>
        <v>(676) 920-3059</v>
      </c>
      <c r="E29" s="4" t="str">
        <f>MID(cleaned_data[[#This Row],[Phone]],FIND("(",cleaned_data[[#This Row],[Phone]])+1,3)</f>
        <v>676</v>
      </c>
      <c r="F29" s="4" t="str">
        <f>RIGHT(SUBSTITUTE(cleaned_data[[#This Row],[Phone]],"-",""),7)</f>
        <v>9203059</v>
      </c>
      <c r="G29" s="4" t="str">
        <f>SUBSTITUTE(SUBSTITUTE(SUBSTITUTE(cleaned_data[[#This Row],[Phone]],"(",""),")","")," ","")</f>
        <v>676920-3059</v>
      </c>
      <c r="H29" s="4" t="str">
        <f>raw_data[[#This Row],[Street Address]]</f>
        <v>667 Penatibus Road</v>
      </c>
      <c r="I29" s="4" t="str">
        <f>TRIM(MID(cleaned_data[[#This Row],[Street Address]],FIND(" ",cleaned_data[[#This Row],[Street Address]])+1,LEN(cleaned_data[[#This Row],[Street Address]])))</f>
        <v>Penatibus Road</v>
      </c>
      <c r="J29" s="15" t="str">
        <f>raw_data[[#This Row],[Zipcode]]</f>
        <v>27199</v>
      </c>
      <c r="K29" s="4" t="str">
        <f>cleaned_data[[#This Row],[Zipcode]]&amp;" - "&amp;cleaned_data[[#This Row],[Street Name]]</f>
        <v>27199 - Penatibus Road</v>
      </c>
      <c r="L29" s="4" t="str">
        <f>LEFT(cleaned_data[[#This Row],[First Name]],3)&amp;LEFT(cleaned_data[[#This Row],[Last Name]],3)&amp;cleaned_data[[#This Row],[Area Code]]</f>
        <v>MaiByr676</v>
      </c>
      <c r="M29" s="4" t="str">
        <f>SUBSTITUTE(cleaned_data[[#This Row],[Street Address]],"St.","Street")</f>
        <v>667 Penatibus Road</v>
      </c>
      <c r="N29" s="4" t="str">
        <f>LEFT(cleaned_data[[#This Row],[Street Address]],FIND(" ",cleaned_data[[#This Row],[Street Address]])-1)</f>
        <v>667</v>
      </c>
      <c r="O29" s="16">
        <f>raw_data[[#This Row],[Req Date]]</f>
        <v>41625</v>
      </c>
      <c r="P29" s="4">
        <f>YEAR(cleaned_data[[#This Row],[Req Date]])</f>
        <v>2013</v>
      </c>
      <c r="Q29" s="4">
        <f>MONTH(cleaned_data[[#This Row],[Req Date]])</f>
        <v>12</v>
      </c>
      <c r="R29" s="4">
        <f>DAY(cleaned_data[[#This Row],[Req Date]])</f>
        <v>17</v>
      </c>
    </row>
    <row r="30" spans="1:18" ht="15.6" x14ac:dyDescent="0.25">
      <c r="A30" s="4" t="str">
        <f>raw_data[[#This Row],[First Name]]</f>
        <v>Autumn</v>
      </c>
      <c r="B30" s="4" t="str">
        <f>raw_data[[#This Row],[Last Name]]</f>
        <v>Burt</v>
      </c>
      <c r="C30" s="4" t="str">
        <f>TRIM(cleaned_data[[#This Row],[First Name]]&amp; " "&amp;cleaned_data[[#This Row],[Last Name]])</f>
        <v>Autumn Burt</v>
      </c>
      <c r="D30" s="4" t="str">
        <f>raw_data[[#This Row],[Phone]]</f>
        <v>(114) 772-7285</v>
      </c>
      <c r="E30" s="4" t="str">
        <f>MID(cleaned_data[[#This Row],[Phone]],FIND("(",cleaned_data[[#This Row],[Phone]])+1,3)</f>
        <v>114</v>
      </c>
      <c r="F30" s="4" t="str">
        <f>RIGHT(SUBSTITUTE(cleaned_data[[#This Row],[Phone]],"-",""),7)</f>
        <v>7727285</v>
      </c>
      <c r="G30" s="4" t="str">
        <f>SUBSTITUTE(SUBSTITUTE(SUBSTITUTE(cleaned_data[[#This Row],[Phone]],"(",""),")","")," ","")</f>
        <v>114772-7285</v>
      </c>
      <c r="H30" s="4" t="str">
        <f>raw_data[[#This Row],[Street Address]]</f>
        <v>779 Vulture Ave.</v>
      </c>
      <c r="I30" s="4" t="str">
        <f>TRIM(MID(cleaned_data[[#This Row],[Street Address]],FIND(" ",cleaned_data[[#This Row],[Street Address]])+1,LEN(cleaned_data[[#This Row],[Street Address]])))</f>
        <v>Vulture Ave.</v>
      </c>
      <c r="J30" s="15" t="str">
        <f>raw_data[[#This Row],[Zipcode]]</f>
        <v>27201</v>
      </c>
      <c r="K30" s="4" t="str">
        <f>cleaned_data[[#This Row],[Zipcode]]&amp;" - "&amp;cleaned_data[[#This Row],[Street Name]]</f>
        <v>27201 - Vulture Ave.</v>
      </c>
      <c r="L30" s="4" t="str">
        <f>LEFT(cleaned_data[[#This Row],[First Name]],3)&amp;LEFT(cleaned_data[[#This Row],[Last Name]],3)&amp;cleaned_data[[#This Row],[Area Code]]</f>
        <v>AutBur114</v>
      </c>
      <c r="M30" s="4" t="str">
        <f>SUBSTITUTE(cleaned_data[[#This Row],[Street Address]],"St.","Street")</f>
        <v>779 Vulture Ave.</v>
      </c>
      <c r="N30" s="4" t="str">
        <f>LEFT(cleaned_data[[#This Row],[Street Address]],FIND(" ",cleaned_data[[#This Row],[Street Address]])-1)</f>
        <v>779</v>
      </c>
      <c r="O30" s="16">
        <f>raw_data[[#This Row],[Req Date]]</f>
        <v>41660</v>
      </c>
      <c r="P30" s="4">
        <f>YEAR(cleaned_data[[#This Row],[Req Date]])</f>
        <v>2014</v>
      </c>
      <c r="Q30" s="4">
        <f>MONTH(cleaned_data[[#This Row],[Req Date]])</f>
        <v>1</v>
      </c>
      <c r="R30" s="4">
        <f>DAY(cleaned_data[[#This Row],[Req Date]])</f>
        <v>21</v>
      </c>
    </row>
    <row r="31" spans="1:18" ht="15.6" x14ac:dyDescent="0.25">
      <c r="A31" s="4" t="str">
        <f>raw_data[[#This Row],[First Name]]</f>
        <v>Karleigh</v>
      </c>
      <c r="B31" s="4" t="str">
        <f>raw_data[[#This Row],[Last Name]]</f>
        <v>Bernard</v>
      </c>
      <c r="C31" s="4" t="str">
        <f>TRIM(cleaned_data[[#This Row],[First Name]]&amp; " "&amp;cleaned_data[[#This Row],[Last Name]])</f>
        <v>Karleigh Bernard</v>
      </c>
      <c r="D31" s="4" t="str">
        <f>raw_data[[#This Row],[Phone]]</f>
        <v>(801) 604-0252</v>
      </c>
      <c r="E31" s="4" t="str">
        <f>MID(cleaned_data[[#This Row],[Phone]],FIND("(",cleaned_data[[#This Row],[Phone]])+1,3)</f>
        <v>801</v>
      </c>
      <c r="F31" s="4" t="str">
        <f>RIGHT(SUBSTITUTE(cleaned_data[[#This Row],[Phone]],"-",""),7)</f>
        <v>6040252</v>
      </c>
      <c r="G31" s="4" t="str">
        <f>SUBSTITUTE(SUBSTITUTE(SUBSTITUTE(cleaned_data[[#This Row],[Phone]],"(",""),")","")," ","")</f>
        <v>801604-0252</v>
      </c>
      <c r="H31" s="4" t="str">
        <f>raw_data[[#This Row],[Street Address]]</f>
        <v>9261 Main Street</v>
      </c>
      <c r="I31" s="4" t="str">
        <f>TRIM(MID(cleaned_data[[#This Row],[Street Address]],FIND(" ",cleaned_data[[#This Row],[Street Address]])+1,LEN(cleaned_data[[#This Row],[Street Address]])))</f>
        <v>Main Street</v>
      </c>
      <c r="J31" s="15" t="str">
        <f>raw_data[[#This Row],[Zipcode]]</f>
        <v>27202</v>
      </c>
      <c r="K31" s="4" t="str">
        <f>cleaned_data[[#This Row],[Zipcode]]&amp;" - "&amp;cleaned_data[[#This Row],[Street Name]]</f>
        <v>27202 - Main Street</v>
      </c>
      <c r="L31" s="4" t="str">
        <f>LEFT(cleaned_data[[#This Row],[First Name]],3)&amp;LEFT(cleaned_data[[#This Row],[Last Name]],3)&amp;cleaned_data[[#This Row],[Area Code]]</f>
        <v>KarBer801</v>
      </c>
      <c r="M31" s="4" t="str">
        <f>SUBSTITUTE(cleaned_data[[#This Row],[Street Address]],"St.","Street")</f>
        <v>9261 Main Street</v>
      </c>
      <c r="N31" s="4" t="str">
        <f>LEFT(cleaned_data[[#This Row],[Street Address]],FIND(" ",cleaned_data[[#This Row],[Street Address]])-1)</f>
        <v>9261</v>
      </c>
      <c r="O31" s="16">
        <f>raw_data[[#This Row],[Req Date]]</f>
        <v>41664</v>
      </c>
      <c r="P31" s="4">
        <f>YEAR(cleaned_data[[#This Row],[Req Date]])</f>
        <v>2014</v>
      </c>
      <c r="Q31" s="4">
        <f>MONTH(cleaned_data[[#This Row],[Req Date]])</f>
        <v>1</v>
      </c>
      <c r="R31" s="4">
        <f>DAY(cleaned_data[[#This Row],[Req Date]])</f>
        <v>25</v>
      </c>
    </row>
    <row r="32" spans="1:18" ht="15.6" x14ac:dyDescent="0.25">
      <c r="A32" s="4" t="str">
        <f>raw_data[[#This Row],[First Name]]</f>
        <v>Dean</v>
      </c>
      <c r="B32" s="4" t="str">
        <f>raw_data[[#This Row],[Last Name]]</f>
        <v>Pierce</v>
      </c>
      <c r="C32" s="4" t="str">
        <f>TRIM(cleaned_data[[#This Row],[First Name]]&amp; " "&amp;cleaned_data[[#This Row],[Last Name]])</f>
        <v>Dean Pierce</v>
      </c>
      <c r="D32" s="4" t="str">
        <f>raw_data[[#This Row],[Phone]]</f>
        <v>(616) 666-2560</v>
      </c>
      <c r="E32" s="4" t="str">
        <f>MID(cleaned_data[[#This Row],[Phone]],FIND("(",cleaned_data[[#This Row],[Phone]])+1,3)</f>
        <v>616</v>
      </c>
      <c r="F32" s="4" t="str">
        <f>RIGHT(SUBSTITUTE(cleaned_data[[#This Row],[Phone]],"-",""),7)</f>
        <v>6662560</v>
      </c>
      <c r="G32" s="4" t="str">
        <f>SUBSTITUTE(SUBSTITUTE(SUBSTITUTE(cleaned_data[[#This Row],[Phone]],"(",""),")","")," ","")</f>
        <v>616666-2560</v>
      </c>
      <c r="H32" s="4" t="str">
        <f>raw_data[[#This Row],[Street Address]]</f>
        <v>2416 Placeman Ave.</v>
      </c>
      <c r="I32" s="4" t="str">
        <f>TRIM(MID(cleaned_data[[#This Row],[Street Address]],FIND(" ",cleaned_data[[#This Row],[Street Address]])+1,LEN(cleaned_data[[#This Row],[Street Address]])))</f>
        <v>Placeman Ave.</v>
      </c>
      <c r="J32" s="15" t="str">
        <f>raw_data[[#This Row],[Zipcode]]</f>
        <v>27203</v>
      </c>
      <c r="K32" s="4" t="str">
        <f>cleaned_data[[#This Row],[Zipcode]]&amp;" - "&amp;cleaned_data[[#This Row],[Street Name]]</f>
        <v>27203 - Placeman Ave.</v>
      </c>
      <c r="L32" s="4" t="str">
        <f>LEFT(cleaned_data[[#This Row],[First Name]],3)&amp;LEFT(cleaned_data[[#This Row],[Last Name]],3)&amp;cleaned_data[[#This Row],[Area Code]]</f>
        <v>DeaPie616</v>
      </c>
      <c r="M32" s="4" t="str">
        <f>SUBSTITUTE(cleaned_data[[#This Row],[Street Address]],"St.","Street")</f>
        <v>2416 Placeman Ave.</v>
      </c>
      <c r="N32" s="4" t="str">
        <f>LEFT(cleaned_data[[#This Row],[Street Address]],FIND(" ",cleaned_data[[#This Row],[Street Address]])-1)</f>
        <v>2416</v>
      </c>
      <c r="O32" s="16">
        <f>raw_data[[#This Row],[Req Date]]</f>
        <v>41623</v>
      </c>
      <c r="P32" s="4">
        <f>YEAR(cleaned_data[[#This Row],[Req Date]])</f>
        <v>2013</v>
      </c>
      <c r="Q32" s="4">
        <f>MONTH(cleaned_data[[#This Row],[Req Date]])</f>
        <v>12</v>
      </c>
      <c r="R32" s="4">
        <f>DAY(cleaned_data[[#This Row],[Req Date]])</f>
        <v>15</v>
      </c>
    </row>
    <row r="33" spans="1:18" ht="15.6" x14ac:dyDescent="0.25">
      <c r="A33" s="4" t="str">
        <f>raw_data[[#This Row],[First Name]]</f>
        <v>Wing</v>
      </c>
      <c r="B33" s="4" t="str">
        <f>raw_data[[#This Row],[Last Name]]</f>
        <v>Rollins</v>
      </c>
      <c r="C33" s="4" t="str">
        <f>TRIM(cleaned_data[[#This Row],[First Name]]&amp; " "&amp;cleaned_data[[#This Row],[Last Name]])</f>
        <v>Wing Rollins</v>
      </c>
      <c r="D33" s="4" t="str">
        <f>raw_data[[#This Row],[Phone]]</f>
        <v>(112) 637-9530</v>
      </c>
      <c r="E33" s="4" t="str">
        <f>MID(cleaned_data[[#This Row],[Phone]],FIND("(",cleaned_data[[#This Row],[Phone]])+1,3)</f>
        <v>112</v>
      </c>
      <c r="F33" s="4" t="str">
        <f>RIGHT(SUBSTITUTE(cleaned_data[[#This Row],[Phone]],"-",""),7)</f>
        <v>6379530</v>
      </c>
      <c r="G33" s="4" t="str">
        <f>SUBSTITUTE(SUBSTITUTE(SUBSTITUTE(cleaned_data[[#This Row],[Phone]],"(",""),")","")," ","")</f>
        <v>112637-9530</v>
      </c>
      <c r="H33" s="4" t="str">
        <f>raw_data[[#This Row],[Street Address]]</f>
        <v>2198 East Ave.</v>
      </c>
      <c r="I33" s="4" t="str">
        <f>TRIM(MID(cleaned_data[[#This Row],[Street Address]],FIND(" ",cleaned_data[[#This Row],[Street Address]])+1,LEN(cleaned_data[[#This Row],[Street Address]])))</f>
        <v>East Ave.</v>
      </c>
      <c r="J33" s="15" t="str">
        <f>raw_data[[#This Row],[Zipcode]]</f>
        <v>24351</v>
      </c>
      <c r="K33" s="4" t="str">
        <f>cleaned_data[[#This Row],[Zipcode]]&amp;" - "&amp;cleaned_data[[#This Row],[Street Name]]</f>
        <v>24351 - East Ave.</v>
      </c>
      <c r="L33" s="4" t="str">
        <f>LEFT(cleaned_data[[#This Row],[First Name]],3)&amp;LEFT(cleaned_data[[#This Row],[Last Name]],3)&amp;cleaned_data[[#This Row],[Area Code]]</f>
        <v>WinRol112</v>
      </c>
      <c r="M33" s="4" t="str">
        <f>SUBSTITUTE(cleaned_data[[#This Row],[Street Address]],"St.","Street")</f>
        <v>2198 East Ave.</v>
      </c>
      <c r="N33" s="4" t="str">
        <f>LEFT(cleaned_data[[#This Row],[Street Address]],FIND(" ",cleaned_data[[#This Row],[Street Address]])-1)</f>
        <v>2198</v>
      </c>
      <c r="O33" s="16">
        <f>raw_data[[#This Row],[Req Date]]</f>
        <v>41681</v>
      </c>
      <c r="P33" s="4">
        <f>YEAR(cleaned_data[[#This Row],[Req Date]])</f>
        <v>2014</v>
      </c>
      <c r="Q33" s="4">
        <f>MONTH(cleaned_data[[#This Row],[Req Date]])</f>
        <v>2</v>
      </c>
      <c r="R33" s="4">
        <f>DAY(cleaned_data[[#This Row],[Req Date]])</f>
        <v>11</v>
      </c>
    </row>
    <row r="34" spans="1:18" ht="15.6" x14ac:dyDescent="0.25">
      <c r="A34" s="4" t="str">
        <f>raw_data[[#This Row],[First Name]]</f>
        <v>Herman</v>
      </c>
      <c r="B34" s="4" t="str">
        <f>raw_data[[#This Row],[Last Name]]</f>
        <v>Fernandez</v>
      </c>
      <c r="C34" s="4" t="str">
        <f>TRIM(cleaned_data[[#This Row],[First Name]]&amp; " "&amp;cleaned_data[[#This Row],[Last Name]])</f>
        <v>Herman Fernandez</v>
      </c>
      <c r="D34" s="4" t="str">
        <f>raw_data[[#This Row],[Phone]]</f>
        <v>(652) 512-4736</v>
      </c>
      <c r="E34" s="4" t="str">
        <f>MID(cleaned_data[[#This Row],[Phone]],FIND("(",cleaned_data[[#This Row],[Phone]])+1,3)</f>
        <v>652</v>
      </c>
      <c r="F34" s="4" t="str">
        <f>RIGHT(SUBSTITUTE(cleaned_data[[#This Row],[Phone]],"-",""),7)</f>
        <v>5124736</v>
      </c>
      <c r="G34" s="4" t="str">
        <f>SUBSTITUTE(SUBSTITUTE(SUBSTITUTE(cleaned_data[[#This Row],[Phone]],"(",""),")","")," ","")</f>
        <v>652512-4736</v>
      </c>
      <c r="H34" s="4" t="str">
        <f>raw_data[[#This Row],[Street Address]]</f>
        <v>8080 Gravida Ave.</v>
      </c>
      <c r="I34" s="4" t="str">
        <f>TRIM(MID(cleaned_data[[#This Row],[Street Address]],FIND(" ",cleaned_data[[#This Row],[Street Address]])+1,LEN(cleaned_data[[#This Row],[Street Address]])))</f>
        <v>Gravida Ave.</v>
      </c>
      <c r="J34" s="15" t="str">
        <f>raw_data[[#This Row],[Zipcode]]</f>
        <v>24352</v>
      </c>
      <c r="K34" s="4" t="str">
        <f>cleaned_data[[#This Row],[Zipcode]]&amp;" - "&amp;cleaned_data[[#This Row],[Street Name]]</f>
        <v>24352 - Gravida Ave.</v>
      </c>
      <c r="L34" s="4" t="str">
        <f>LEFT(cleaned_data[[#This Row],[First Name]],3)&amp;LEFT(cleaned_data[[#This Row],[Last Name]],3)&amp;cleaned_data[[#This Row],[Area Code]]</f>
        <v>HerFer652</v>
      </c>
      <c r="M34" s="4" t="str">
        <f>SUBSTITUTE(cleaned_data[[#This Row],[Street Address]],"St.","Street")</f>
        <v>8080 Gravida Ave.</v>
      </c>
      <c r="N34" s="4" t="str">
        <f>LEFT(cleaned_data[[#This Row],[Street Address]],FIND(" ",cleaned_data[[#This Row],[Street Address]])-1)</f>
        <v>8080</v>
      </c>
      <c r="O34" s="16">
        <f>raw_data[[#This Row],[Req Date]]</f>
        <v>41665</v>
      </c>
      <c r="P34" s="4">
        <f>YEAR(cleaned_data[[#This Row],[Req Date]])</f>
        <v>2014</v>
      </c>
      <c r="Q34" s="4">
        <f>MONTH(cleaned_data[[#This Row],[Req Date]])</f>
        <v>1</v>
      </c>
      <c r="R34" s="4">
        <f>DAY(cleaned_data[[#This Row],[Req Date]])</f>
        <v>26</v>
      </c>
    </row>
    <row r="35" spans="1:18" ht="15.6" x14ac:dyDescent="0.25">
      <c r="A35" s="4" t="str">
        <f>raw_data[[#This Row],[First Name]]</f>
        <v>Jonas</v>
      </c>
      <c r="B35" s="4" t="str">
        <f>raw_data[[#This Row],[Last Name]]</f>
        <v>Cervantes</v>
      </c>
      <c r="C35" s="4" t="str">
        <f>TRIM(cleaned_data[[#This Row],[First Name]]&amp; " "&amp;cleaned_data[[#This Row],[Last Name]])</f>
        <v>Jonas Cervantes</v>
      </c>
      <c r="D35" s="4" t="str">
        <f>raw_data[[#This Row],[Phone]]</f>
        <v>(478) 660-5141</v>
      </c>
      <c r="E35" s="4" t="str">
        <f>MID(cleaned_data[[#This Row],[Phone]],FIND("(",cleaned_data[[#This Row],[Phone]])+1,3)</f>
        <v>478</v>
      </c>
      <c r="F35" s="4" t="str">
        <f>RIGHT(SUBSTITUTE(cleaned_data[[#This Row],[Phone]],"-",""),7)</f>
        <v>6605141</v>
      </c>
      <c r="G35" s="4" t="str">
        <f>SUBSTITUTE(SUBSTITUTE(SUBSTITUTE(cleaned_data[[#This Row],[Phone]],"(",""),")","")," ","")</f>
        <v>478660-5141</v>
      </c>
      <c r="H35" s="4" t="str">
        <f>raw_data[[#This Row],[Street Address]]</f>
        <v>9027 Urban Rd.</v>
      </c>
      <c r="I35" s="4" t="str">
        <f>TRIM(MID(cleaned_data[[#This Row],[Street Address]],FIND(" ",cleaned_data[[#This Row],[Street Address]])+1,LEN(cleaned_data[[#This Row],[Street Address]])))</f>
        <v>Urban Rd.</v>
      </c>
      <c r="J35" s="15" t="str">
        <f>raw_data[[#This Row],[Zipcode]]</f>
        <v>24354</v>
      </c>
      <c r="K35" s="4" t="str">
        <f>cleaned_data[[#This Row],[Zipcode]]&amp;" - "&amp;cleaned_data[[#This Row],[Street Name]]</f>
        <v>24354 - Urban Rd.</v>
      </c>
      <c r="L35" s="4" t="str">
        <f>LEFT(cleaned_data[[#This Row],[First Name]],3)&amp;LEFT(cleaned_data[[#This Row],[Last Name]],3)&amp;cleaned_data[[#This Row],[Area Code]]</f>
        <v>JonCer478</v>
      </c>
      <c r="M35" s="4" t="str">
        <f>SUBSTITUTE(cleaned_data[[#This Row],[Street Address]],"St.","Street")</f>
        <v>9027 Urban Rd.</v>
      </c>
      <c r="N35" s="4" t="str">
        <f>LEFT(cleaned_data[[#This Row],[Street Address]],FIND(" ",cleaned_data[[#This Row],[Street Address]])-1)</f>
        <v>9027</v>
      </c>
      <c r="O35" s="16">
        <f>raw_data[[#This Row],[Req Date]]</f>
        <v>41635</v>
      </c>
      <c r="P35" s="4">
        <f>YEAR(cleaned_data[[#This Row],[Req Date]])</f>
        <v>2013</v>
      </c>
      <c r="Q35" s="4">
        <f>MONTH(cleaned_data[[#This Row],[Req Date]])</f>
        <v>12</v>
      </c>
      <c r="R35" s="4">
        <f>DAY(cleaned_data[[#This Row],[Req Date]])</f>
        <v>27</v>
      </c>
    </row>
    <row r="36" spans="1:18" ht="15.6" x14ac:dyDescent="0.25">
      <c r="A36" s="4" t="str">
        <f>raw_data[[#This Row],[First Name]]</f>
        <v>Leroy</v>
      </c>
      <c r="B36" s="4" t="str">
        <f>raw_data[[#This Row],[Last Name]]</f>
        <v>Erickson</v>
      </c>
      <c r="C36" s="4" t="str">
        <f>TRIM(cleaned_data[[#This Row],[First Name]]&amp; " "&amp;cleaned_data[[#This Row],[Last Name]])</f>
        <v>Leroy Erickson</v>
      </c>
      <c r="D36" s="4" t="str">
        <f>raw_data[[#This Row],[Phone]]</f>
        <v>(235) 197-6304</v>
      </c>
      <c r="E36" s="4" t="str">
        <f>MID(cleaned_data[[#This Row],[Phone]],FIND("(",cleaned_data[[#This Row],[Phone]])+1,3)</f>
        <v>235</v>
      </c>
      <c r="F36" s="4" t="str">
        <f>RIGHT(SUBSTITUTE(cleaned_data[[#This Row],[Phone]],"-",""),7)</f>
        <v>1976304</v>
      </c>
      <c r="G36" s="4" t="str">
        <f>SUBSTITUTE(SUBSTITUTE(SUBSTITUTE(cleaned_data[[#This Row],[Phone]],"(",""),")","")," ","")</f>
        <v>235197-6304</v>
      </c>
      <c r="H36" s="4" t="str">
        <f>raw_data[[#This Row],[Street Address]]</f>
        <v>2762 Buss Ave.</v>
      </c>
      <c r="I36" s="4" t="str">
        <f>TRIM(MID(cleaned_data[[#This Row],[Street Address]],FIND(" ",cleaned_data[[#This Row],[Street Address]])+1,LEN(cleaned_data[[#This Row],[Street Address]])))</f>
        <v>Buss Ave.</v>
      </c>
      <c r="J36" s="15" t="str">
        <f>raw_data[[#This Row],[Zipcode]]</f>
        <v>20885</v>
      </c>
      <c r="K36" s="4" t="str">
        <f>cleaned_data[[#This Row],[Zipcode]]&amp;" - "&amp;cleaned_data[[#This Row],[Street Name]]</f>
        <v>20885 - Buss Ave.</v>
      </c>
      <c r="L36" s="4" t="str">
        <f>LEFT(cleaned_data[[#This Row],[First Name]],3)&amp;LEFT(cleaned_data[[#This Row],[Last Name]],3)&amp;cleaned_data[[#This Row],[Area Code]]</f>
        <v>LerEri235</v>
      </c>
      <c r="M36" s="4" t="str">
        <f>SUBSTITUTE(cleaned_data[[#This Row],[Street Address]],"St.","Street")</f>
        <v>2762 Buss Ave.</v>
      </c>
      <c r="N36" s="4" t="str">
        <f>LEFT(cleaned_data[[#This Row],[Street Address]],FIND(" ",cleaned_data[[#This Row],[Street Address]])-1)</f>
        <v>2762</v>
      </c>
      <c r="O36" s="16">
        <f>raw_data[[#This Row],[Req Date]]</f>
        <v>41634</v>
      </c>
      <c r="P36" s="4">
        <f>YEAR(cleaned_data[[#This Row],[Req Date]])</f>
        <v>2013</v>
      </c>
      <c r="Q36" s="4">
        <f>MONTH(cleaned_data[[#This Row],[Req Date]])</f>
        <v>12</v>
      </c>
      <c r="R36" s="4">
        <f>DAY(cleaned_data[[#This Row],[Req Date]])</f>
        <v>26</v>
      </c>
    </row>
    <row r="37" spans="1:18" ht="15.6" x14ac:dyDescent="0.25">
      <c r="A37" s="4" t="str">
        <f>raw_data[[#This Row],[First Name]]</f>
        <v>Melinda</v>
      </c>
      <c r="B37" s="4" t="str">
        <f>raw_data[[#This Row],[Last Name]]</f>
        <v>Houston</v>
      </c>
      <c r="C37" s="4" t="str">
        <f>TRIM(cleaned_data[[#This Row],[First Name]]&amp; " "&amp;cleaned_data[[#This Row],[Last Name]])</f>
        <v>Melinda Houston</v>
      </c>
      <c r="D37" s="4" t="str">
        <f>raw_data[[#This Row],[Phone]]</f>
        <v>(444) 207-9492</v>
      </c>
      <c r="E37" s="4" t="str">
        <f>MID(cleaned_data[[#This Row],[Phone]],FIND("(",cleaned_data[[#This Row],[Phone]])+1,3)</f>
        <v>444</v>
      </c>
      <c r="F37" s="4" t="str">
        <f>RIGHT(SUBSTITUTE(cleaned_data[[#This Row],[Phone]],"-",""),7)</f>
        <v>2079492</v>
      </c>
      <c r="G37" s="4" t="str">
        <f>SUBSTITUTE(SUBSTITUTE(SUBSTITUTE(cleaned_data[[#This Row],[Phone]],"(",""),")","")," ","")</f>
        <v>444207-9492</v>
      </c>
      <c r="H37" s="4" t="str">
        <f>raw_data[[#This Row],[Street Address]]</f>
        <v>6606 Integer St.</v>
      </c>
      <c r="I37" s="4" t="str">
        <f>TRIM(MID(cleaned_data[[#This Row],[Street Address]],FIND(" ",cleaned_data[[#This Row],[Street Address]])+1,LEN(cleaned_data[[#This Row],[Street Address]])))</f>
        <v>Integer St.</v>
      </c>
      <c r="J37" s="15" t="str">
        <f>raw_data[[#This Row],[Zipcode]]</f>
        <v>20886</v>
      </c>
      <c r="K37" s="4" t="str">
        <f>cleaned_data[[#This Row],[Zipcode]]&amp;" - "&amp;cleaned_data[[#This Row],[Street Name]]</f>
        <v>20886 - Integer St.</v>
      </c>
      <c r="L37" s="4" t="str">
        <f>LEFT(cleaned_data[[#This Row],[First Name]],3)&amp;LEFT(cleaned_data[[#This Row],[Last Name]],3)&amp;cleaned_data[[#This Row],[Area Code]]</f>
        <v>MelHou444</v>
      </c>
      <c r="M37" s="4" t="str">
        <f>SUBSTITUTE(cleaned_data[[#This Row],[Street Address]],"St.","Street")</f>
        <v>6606 Integer Street</v>
      </c>
      <c r="N37" s="4" t="str">
        <f>LEFT(cleaned_data[[#This Row],[Street Address]],FIND(" ",cleaned_data[[#This Row],[Street Address]])-1)</f>
        <v>6606</v>
      </c>
      <c r="O37" s="16">
        <f>raw_data[[#This Row],[Req Date]]</f>
        <v>41665</v>
      </c>
      <c r="P37" s="4">
        <f>YEAR(cleaned_data[[#This Row],[Req Date]])</f>
        <v>2014</v>
      </c>
      <c r="Q37" s="4">
        <f>MONTH(cleaned_data[[#This Row],[Req Date]])</f>
        <v>1</v>
      </c>
      <c r="R37" s="4">
        <f>DAY(cleaned_data[[#This Row],[Req Date]])</f>
        <v>26</v>
      </c>
    </row>
    <row r="38" spans="1:18" ht="15.6" x14ac:dyDescent="0.25">
      <c r="A38" s="4" t="str">
        <f>raw_data[[#This Row],[First Name]]</f>
        <v>Rhea</v>
      </c>
      <c r="B38" s="4" t="str">
        <f>raw_data[[#This Row],[Last Name]]</f>
        <v>Benson</v>
      </c>
      <c r="C38" s="4" t="str">
        <f>TRIM(cleaned_data[[#This Row],[First Name]]&amp; " "&amp;cleaned_data[[#This Row],[Last Name]])</f>
        <v>Rhea Benson</v>
      </c>
      <c r="D38" s="4" t="str">
        <f>raw_data[[#This Row],[Phone]]</f>
        <v>(472) 304-1275</v>
      </c>
      <c r="E38" s="4" t="str">
        <f>MID(cleaned_data[[#This Row],[Phone]],FIND("(",cleaned_data[[#This Row],[Phone]])+1,3)</f>
        <v>472</v>
      </c>
      <c r="F38" s="4" t="str">
        <f>RIGHT(SUBSTITUTE(cleaned_data[[#This Row],[Phone]],"-",""),7)</f>
        <v>3041275</v>
      </c>
      <c r="G38" s="4" t="str">
        <f>SUBSTITUTE(SUBSTITUTE(SUBSTITUTE(cleaned_data[[#This Row],[Phone]],"(",""),")","")," ","")</f>
        <v>472304-1275</v>
      </c>
      <c r="H38" s="4" t="str">
        <f>raw_data[[#This Row],[Street Address]]</f>
        <v>498 Brown Street</v>
      </c>
      <c r="I38" s="4" t="str">
        <f>TRIM(MID(cleaned_data[[#This Row],[Street Address]],FIND(" ",cleaned_data[[#This Row],[Street Address]])+1,LEN(cleaned_data[[#This Row],[Street Address]])))</f>
        <v>Brown Street</v>
      </c>
      <c r="J38" s="15" t="str">
        <f>raw_data[[#This Row],[Zipcode]]</f>
        <v>20889</v>
      </c>
      <c r="K38" s="4" t="str">
        <f>cleaned_data[[#This Row],[Zipcode]]&amp;" - "&amp;cleaned_data[[#This Row],[Street Name]]</f>
        <v>20889 - Brown Street</v>
      </c>
      <c r="L38" s="4" t="str">
        <f>LEFT(cleaned_data[[#This Row],[First Name]],3)&amp;LEFT(cleaned_data[[#This Row],[Last Name]],3)&amp;cleaned_data[[#This Row],[Area Code]]</f>
        <v>RheBen472</v>
      </c>
      <c r="M38" s="4" t="str">
        <f>SUBSTITUTE(cleaned_data[[#This Row],[Street Address]],"St.","Street")</f>
        <v>498 Brown Street</v>
      </c>
      <c r="N38" s="4" t="str">
        <f>LEFT(cleaned_data[[#This Row],[Street Address]],FIND(" ",cleaned_data[[#This Row],[Street Address]])-1)</f>
        <v>498</v>
      </c>
      <c r="O38" s="16">
        <f>raw_data[[#This Row],[Req Date]]</f>
        <v>41685</v>
      </c>
      <c r="P38" s="4">
        <f>YEAR(cleaned_data[[#This Row],[Req Date]])</f>
        <v>2014</v>
      </c>
      <c r="Q38" s="4">
        <f>MONTH(cleaned_data[[#This Row],[Req Date]])</f>
        <v>2</v>
      </c>
      <c r="R38" s="4">
        <f>DAY(cleaned_data[[#This Row],[Req Date]])</f>
        <v>15</v>
      </c>
    </row>
    <row r="39" spans="1:18" ht="15.6" x14ac:dyDescent="0.25">
      <c r="A39" s="4" t="str">
        <f>raw_data[[#This Row],[First Name]]</f>
        <v>Geraldine</v>
      </c>
      <c r="B39" s="4" t="str">
        <f>raw_data[[#This Row],[Last Name]]</f>
        <v>Davidson</v>
      </c>
      <c r="C39" s="4" t="str">
        <f>TRIM(cleaned_data[[#This Row],[First Name]]&amp; " "&amp;cleaned_data[[#This Row],[Last Name]])</f>
        <v>Geraldine Davidson</v>
      </c>
      <c r="D39" s="4" t="str">
        <f>raw_data[[#This Row],[Phone]]</f>
        <v>(250) 101-1858</v>
      </c>
      <c r="E39" s="4" t="str">
        <f>MID(cleaned_data[[#This Row],[Phone]],FIND("(",cleaned_data[[#This Row],[Phone]])+1,3)</f>
        <v>250</v>
      </c>
      <c r="F39" s="4" t="str">
        <f>RIGHT(SUBSTITUTE(cleaned_data[[#This Row],[Phone]],"-",""),7)</f>
        <v>1011858</v>
      </c>
      <c r="G39" s="4" t="str">
        <f>SUBSTITUTE(SUBSTITUTE(SUBSTITUTE(cleaned_data[[#This Row],[Phone]],"(",""),")","")," ","")</f>
        <v>250101-1858</v>
      </c>
      <c r="H39" s="4" t="str">
        <f>raw_data[[#This Row],[Street Address]]</f>
        <v>4370 Tincidunt Ave.</v>
      </c>
      <c r="I39" s="4" t="str">
        <f>TRIM(MID(cleaned_data[[#This Row],[Street Address]],FIND(" ",cleaned_data[[#This Row],[Street Address]])+1,LEN(cleaned_data[[#This Row],[Street Address]])))</f>
        <v>Tincidunt Ave.</v>
      </c>
      <c r="J39" s="15" t="str">
        <f>raw_data[[#This Row],[Zipcode]]</f>
        <v>20891</v>
      </c>
      <c r="K39" s="4" t="str">
        <f>cleaned_data[[#This Row],[Zipcode]]&amp;" - "&amp;cleaned_data[[#This Row],[Street Name]]</f>
        <v>20891 - Tincidunt Ave.</v>
      </c>
      <c r="L39" s="4" t="str">
        <f>LEFT(cleaned_data[[#This Row],[First Name]],3)&amp;LEFT(cleaned_data[[#This Row],[Last Name]],3)&amp;cleaned_data[[#This Row],[Area Code]]</f>
        <v>GerDav250</v>
      </c>
      <c r="M39" s="4" t="str">
        <f>SUBSTITUTE(cleaned_data[[#This Row],[Street Address]],"St.","Street")</f>
        <v>4370 Tincidunt Ave.</v>
      </c>
      <c r="N39" s="4" t="str">
        <f>LEFT(cleaned_data[[#This Row],[Street Address]],FIND(" ",cleaned_data[[#This Row],[Street Address]])-1)</f>
        <v>4370</v>
      </c>
      <c r="O39" s="16">
        <f>raw_data[[#This Row],[Req Date]]</f>
        <v>41690</v>
      </c>
      <c r="P39" s="4">
        <f>YEAR(cleaned_data[[#This Row],[Req Date]])</f>
        <v>2014</v>
      </c>
      <c r="Q39" s="4">
        <f>MONTH(cleaned_data[[#This Row],[Req Date]])</f>
        <v>2</v>
      </c>
      <c r="R39" s="4">
        <f>DAY(cleaned_data[[#This Row],[Req Date]])</f>
        <v>20</v>
      </c>
    </row>
    <row r="40" spans="1:18" ht="15.6" x14ac:dyDescent="0.25">
      <c r="A40" s="4" t="str">
        <f>raw_data[[#This Row],[First Name]]</f>
        <v>Colton</v>
      </c>
      <c r="B40" s="4" t="str">
        <f>raw_data[[#This Row],[Last Name]]</f>
        <v>Compton</v>
      </c>
      <c r="C40" s="4" t="str">
        <f>TRIM(cleaned_data[[#This Row],[First Name]]&amp; " "&amp;cleaned_data[[#This Row],[Last Name]])</f>
        <v>Colton Compton</v>
      </c>
      <c r="D40" s="4" t="str">
        <f>raw_data[[#This Row],[Phone]]</f>
        <v>(107) 300-7719</v>
      </c>
      <c r="E40" s="4" t="str">
        <f>MID(cleaned_data[[#This Row],[Phone]],FIND("(",cleaned_data[[#This Row],[Phone]])+1,3)</f>
        <v>107</v>
      </c>
      <c r="F40" s="4" t="str">
        <f>RIGHT(SUBSTITUTE(cleaned_data[[#This Row],[Phone]],"-",""),7)</f>
        <v>3007719</v>
      </c>
      <c r="G40" s="4" t="str">
        <f>SUBSTITUTE(SUBSTITUTE(SUBSTITUTE(cleaned_data[[#This Row],[Phone]],"(",""),")","")," ","")</f>
        <v>107300-7719</v>
      </c>
      <c r="H40" s="4" t="str">
        <f>raw_data[[#This Row],[Street Address]]</f>
        <v>2718 Nisl St.</v>
      </c>
      <c r="I40" s="4" t="str">
        <f>TRIM(MID(cleaned_data[[#This Row],[Street Address]],FIND(" ",cleaned_data[[#This Row],[Street Address]])+1,LEN(cleaned_data[[#This Row],[Street Address]])))</f>
        <v>Nisl St.</v>
      </c>
      <c r="J40" s="15" t="str">
        <f>raw_data[[#This Row],[Zipcode]]</f>
        <v>20892</v>
      </c>
      <c r="K40" s="4" t="str">
        <f>cleaned_data[[#This Row],[Zipcode]]&amp;" - "&amp;cleaned_data[[#This Row],[Street Name]]</f>
        <v>20892 - Nisl St.</v>
      </c>
      <c r="L40" s="4" t="str">
        <f>LEFT(cleaned_data[[#This Row],[First Name]],3)&amp;LEFT(cleaned_data[[#This Row],[Last Name]],3)&amp;cleaned_data[[#This Row],[Area Code]]</f>
        <v>ColCom107</v>
      </c>
      <c r="M40" s="4" t="str">
        <f>SUBSTITUTE(cleaned_data[[#This Row],[Street Address]],"St.","Street")</f>
        <v>2718 Nisl Street</v>
      </c>
      <c r="N40" s="4" t="str">
        <f>LEFT(cleaned_data[[#This Row],[Street Address]],FIND(" ",cleaned_data[[#This Row],[Street Address]])-1)</f>
        <v>2718</v>
      </c>
      <c r="O40" s="16">
        <f>raw_data[[#This Row],[Req Date]]</f>
        <v>41643</v>
      </c>
      <c r="P40" s="4">
        <f>YEAR(cleaned_data[[#This Row],[Req Date]])</f>
        <v>2014</v>
      </c>
      <c r="Q40" s="4">
        <f>MONTH(cleaned_data[[#This Row],[Req Date]])</f>
        <v>1</v>
      </c>
      <c r="R40" s="4">
        <f>DAY(cleaned_data[[#This Row],[Req Date]])</f>
        <v>4</v>
      </c>
    </row>
    <row r="41" spans="1:18" ht="15.6" x14ac:dyDescent="0.25">
      <c r="A41" s="4" t="str">
        <f>raw_data[[#This Row],[First Name]]</f>
        <v>Ali</v>
      </c>
      <c r="B41" s="4" t="str">
        <f>raw_data[[#This Row],[Last Name]]</f>
        <v>Bernard</v>
      </c>
      <c r="C41" s="4" t="str">
        <f>TRIM(cleaned_data[[#This Row],[First Name]]&amp; " "&amp;cleaned_data[[#This Row],[Last Name]])</f>
        <v>Ali Bernard</v>
      </c>
      <c r="D41" s="4" t="str">
        <f>raw_data[[#This Row],[Phone]]</f>
        <v>(561) 710-8249</v>
      </c>
      <c r="E41" s="4" t="str">
        <f>MID(cleaned_data[[#This Row],[Phone]],FIND("(",cleaned_data[[#This Row],[Phone]])+1,3)</f>
        <v>561</v>
      </c>
      <c r="F41" s="4" t="str">
        <f>RIGHT(SUBSTITUTE(cleaned_data[[#This Row],[Phone]],"-",""),7)</f>
        <v>7108249</v>
      </c>
      <c r="G41" s="4" t="str">
        <f>SUBSTITUTE(SUBSTITUTE(SUBSTITUTE(cleaned_data[[#This Row],[Phone]],"(",""),")","")," ","")</f>
        <v>561710-8249</v>
      </c>
      <c r="H41" s="4" t="str">
        <f>raw_data[[#This Row],[Street Address]]</f>
        <v>2319 Second St.</v>
      </c>
      <c r="I41" s="4" t="str">
        <f>TRIM(MID(cleaned_data[[#This Row],[Street Address]],FIND(" ",cleaned_data[[#This Row],[Street Address]])+1,LEN(cleaned_data[[#This Row],[Street Address]])))</f>
        <v>Second St.</v>
      </c>
      <c r="J41" s="15" t="str">
        <f>raw_data[[#This Row],[Zipcode]]</f>
        <v>22210</v>
      </c>
      <c r="K41" s="4" t="str">
        <f>cleaned_data[[#This Row],[Zipcode]]&amp;" - "&amp;cleaned_data[[#This Row],[Street Name]]</f>
        <v>22210 - Second St.</v>
      </c>
      <c r="L41" s="4" t="str">
        <f>LEFT(cleaned_data[[#This Row],[First Name]],3)&amp;LEFT(cleaned_data[[#This Row],[Last Name]],3)&amp;cleaned_data[[#This Row],[Area Code]]</f>
        <v>AliBer561</v>
      </c>
      <c r="M41" s="4" t="str">
        <f>SUBSTITUTE(cleaned_data[[#This Row],[Street Address]],"St.","Street")</f>
        <v>2319 Second Street</v>
      </c>
      <c r="N41" s="4" t="str">
        <f>LEFT(cleaned_data[[#This Row],[Street Address]],FIND(" ",cleaned_data[[#This Row],[Street Address]])-1)</f>
        <v>2319</v>
      </c>
      <c r="O41" s="16">
        <f>raw_data[[#This Row],[Req Date]]</f>
        <v>41680</v>
      </c>
      <c r="P41" s="4">
        <f>YEAR(cleaned_data[[#This Row],[Req Date]])</f>
        <v>2014</v>
      </c>
      <c r="Q41" s="4">
        <f>MONTH(cleaned_data[[#This Row],[Req Date]])</f>
        <v>2</v>
      </c>
      <c r="R41" s="4">
        <f>DAY(cleaned_data[[#This Row],[Req Date]])</f>
        <v>10</v>
      </c>
    </row>
    <row r="42" spans="1:18" ht="15.6" x14ac:dyDescent="0.25">
      <c r="A42" s="4" t="str">
        <f>raw_data[[#This Row],[First Name]]</f>
        <v>Aaron</v>
      </c>
      <c r="B42" s="4" t="str">
        <f>raw_data[[#This Row],[Last Name]]</f>
        <v>Garner</v>
      </c>
      <c r="C42" s="4" t="str">
        <f>TRIM(cleaned_data[[#This Row],[First Name]]&amp; " "&amp;cleaned_data[[#This Row],[Last Name]])</f>
        <v>Aaron Garner</v>
      </c>
      <c r="D42" s="4" t="str">
        <f>raw_data[[#This Row],[Phone]]</f>
        <v>(885) 876-5622</v>
      </c>
      <c r="E42" s="4" t="str">
        <f>MID(cleaned_data[[#This Row],[Phone]],FIND("(",cleaned_data[[#This Row],[Phone]])+1,3)</f>
        <v>885</v>
      </c>
      <c r="F42" s="4" t="str">
        <f>RIGHT(SUBSTITUTE(cleaned_data[[#This Row],[Phone]],"-",""),7)</f>
        <v>8765622</v>
      </c>
      <c r="G42" s="4" t="str">
        <f>SUBSTITUTE(SUBSTITUTE(SUBSTITUTE(cleaned_data[[#This Row],[Phone]],"(",""),")","")," ","")</f>
        <v>885876-5622</v>
      </c>
      <c r="H42" s="4" t="str">
        <f>raw_data[[#This Row],[Street Address]]</f>
        <v>833 Ohio Ave.</v>
      </c>
      <c r="I42" s="4" t="str">
        <f>TRIM(MID(cleaned_data[[#This Row],[Street Address]],FIND(" ",cleaned_data[[#This Row],[Street Address]])+1,LEN(cleaned_data[[#This Row],[Street Address]])))</f>
        <v>Ohio Ave.</v>
      </c>
      <c r="J42" s="15" t="str">
        <f>raw_data[[#This Row],[Zipcode]]</f>
        <v>22211</v>
      </c>
      <c r="K42" s="4" t="str">
        <f>cleaned_data[[#This Row],[Zipcode]]&amp;" - "&amp;cleaned_data[[#This Row],[Street Name]]</f>
        <v>22211 - Ohio Ave.</v>
      </c>
      <c r="L42" s="4" t="str">
        <f>LEFT(cleaned_data[[#This Row],[First Name]],3)&amp;LEFT(cleaned_data[[#This Row],[Last Name]],3)&amp;cleaned_data[[#This Row],[Area Code]]</f>
        <v>AarGar885</v>
      </c>
      <c r="M42" s="4" t="str">
        <f>SUBSTITUTE(cleaned_data[[#This Row],[Street Address]],"St.","Street")</f>
        <v>833 Ohio Ave.</v>
      </c>
      <c r="N42" s="4" t="str">
        <f>LEFT(cleaned_data[[#This Row],[Street Address]],FIND(" ",cleaned_data[[#This Row],[Street Address]])-1)</f>
        <v>833</v>
      </c>
      <c r="O42" s="16">
        <f>raw_data[[#This Row],[Req Date]]</f>
        <v>41645</v>
      </c>
      <c r="P42" s="4">
        <f>YEAR(cleaned_data[[#This Row],[Req Date]])</f>
        <v>2014</v>
      </c>
      <c r="Q42" s="4">
        <f>MONTH(cleaned_data[[#This Row],[Req Date]])</f>
        <v>1</v>
      </c>
      <c r="R42" s="4">
        <f>DAY(cleaned_data[[#This Row],[Req Date]])</f>
        <v>6</v>
      </c>
    </row>
    <row r="43" spans="1:18" ht="15.6" x14ac:dyDescent="0.25">
      <c r="A43" s="4" t="str">
        <f>raw_data[[#This Row],[First Name]]</f>
        <v>Dacey</v>
      </c>
      <c r="B43" s="4" t="str">
        <f>raw_data[[#This Row],[Last Name]]</f>
        <v>Pena</v>
      </c>
      <c r="C43" s="4" t="str">
        <f>TRIM(cleaned_data[[#This Row],[First Name]]&amp; " "&amp;cleaned_data[[#This Row],[Last Name]])</f>
        <v>Dacey Pena</v>
      </c>
      <c r="D43" s="4" t="str">
        <f>raw_data[[#This Row],[Phone]]</f>
        <v>(919) 844-6935</v>
      </c>
      <c r="E43" s="4" t="str">
        <f>MID(cleaned_data[[#This Row],[Phone]],FIND("(",cleaned_data[[#This Row],[Phone]])+1,3)</f>
        <v>919</v>
      </c>
      <c r="F43" s="4" t="str">
        <f>RIGHT(SUBSTITUTE(cleaned_data[[#This Row],[Phone]],"-",""),7)</f>
        <v>8446935</v>
      </c>
      <c r="G43" s="4" t="str">
        <f>SUBSTITUTE(SUBSTITUTE(SUBSTITUTE(cleaned_data[[#This Row],[Phone]],"(",""),")","")," ","")</f>
        <v>919844-6935</v>
      </c>
      <c r="H43" s="4" t="str">
        <f>raw_data[[#This Row],[Street Address]]</f>
        <v>6423 Tellus St.</v>
      </c>
      <c r="I43" s="4" t="str">
        <f>TRIM(MID(cleaned_data[[#This Row],[Street Address]],FIND(" ",cleaned_data[[#This Row],[Street Address]])+1,LEN(cleaned_data[[#This Row],[Street Address]])))</f>
        <v>Tellus St.</v>
      </c>
      <c r="J43" s="15" t="str">
        <f>raw_data[[#This Row],[Zipcode]]</f>
        <v>22212</v>
      </c>
      <c r="K43" s="4" t="str">
        <f>cleaned_data[[#This Row],[Zipcode]]&amp;" - "&amp;cleaned_data[[#This Row],[Street Name]]</f>
        <v>22212 - Tellus St.</v>
      </c>
      <c r="L43" s="4" t="str">
        <f>LEFT(cleaned_data[[#This Row],[First Name]],3)&amp;LEFT(cleaned_data[[#This Row],[Last Name]],3)&amp;cleaned_data[[#This Row],[Area Code]]</f>
        <v>DacPen919</v>
      </c>
      <c r="M43" s="4" t="str">
        <f>SUBSTITUTE(cleaned_data[[#This Row],[Street Address]],"St.","Street")</f>
        <v>6423 Tellus Street</v>
      </c>
      <c r="N43" s="4" t="str">
        <f>LEFT(cleaned_data[[#This Row],[Street Address]],FIND(" ",cleaned_data[[#This Row],[Street Address]])-1)</f>
        <v>6423</v>
      </c>
      <c r="O43" s="16">
        <f>raw_data[[#This Row],[Req Date]]</f>
        <v>41680</v>
      </c>
      <c r="P43" s="4">
        <f>YEAR(cleaned_data[[#This Row],[Req Date]])</f>
        <v>2014</v>
      </c>
      <c r="Q43" s="4">
        <f>MONTH(cleaned_data[[#This Row],[Req Date]])</f>
        <v>2</v>
      </c>
      <c r="R43" s="4">
        <f>DAY(cleaned_data[[#This Row],[Req Date]])</f>
        <v>10</v>
      </c>
    </row>
    <row r="44" spans="1:18" ht="15.6" x14ac:dyDescent="0.25">
      <c r="A44" s="4" t="str">
        <f>raw_data[[#This Row],[First Name]]</f>
        <v>Halla</v>
      </c>
      <c r="B44" s="4" t="str">
        <f>raw_data[[#This Row],[Last Name]]</f>
        <v>Stein</v>
      </c>
      <c r="C44" s="4" t="str">
        <f>TRIM(cleaned_data[[#This Row],[First Name]]&amp; " "&amp;cleaned_data[[#This Row],[Last Name]])</f>
        <v>Halla Stein</v>
      </c>
      <c r="D44" s="4" t="str">
        <f>raw_data[[#This Row],[Phone]]</f>
        <v>(978) 817-0762</v>
      </c>
      <c r="E44" s="4" t="str">
        <f>MID(cleaned_data[[#This Row],[Phone]],FIND("(",cleaned_data[[#This Row],[Phone]])+1,3)</f>
        <v>978</v>
      </c>
      <c r="F44" s="4" t="str">
        <f>RIGHT(SUBSTITUTE(cleaned_data[[#This Row],[Phone]],"-",""),7)</f>
        <v>8170762</v>
      </c>
      <c r="G44" s="4" t="str">
        <f>SUBSTITUTE(SUBSTITUTE(SUBSTITUTE(cleaned_data[[#This Row],[Phone]],"(",""),")","")," ","")</f>
        <v>978817-0762</v>
      </c>
      <c r="H44" s="4" t="str">
        <f>raw_data[[#This Row],[Street Address]]</f>
        <v>2156 Suspendisse Rd.</v>
      </c>
      <c r="I44" s="4" t="str">
        <f>TRIM(MID(cleaned_data[[#This Row],[Street Address]],FIND(" ",cleaned_data[[#This Row],[Street Address]])+1,LEN(cleaned_data[[#This Row],[Street Address]])))</f>
        <v>Suspendisse Rd.</v>
      </c>
      <c r="J44" s="15" t="str">
        <f>raw_data[[#This Row],[Zipcode]]</f>
        <v>25419</v>
      </c>
      <c r="K44" s="4" t="str">
        <f>cleaned_data[[#This Row],[Zipcode]]&amp;" - "&amp;cleaned_data[[#This Row],[Street Name]]</f>
        <v>25419 - Suspendisse Rd.</v>
      </c>
      <c r="L44" s="4" t="str">
        <f>LEFT(cleaned_data[[#This Row],[First Name]],3)&amp;LEFT(cleaned_data[[#This Row],[Last Name]],3)&amp;cleaned_data[[#This Row],[Area Code]]</f>
        <v>HalSte978</v>
      </c>
      <c r="M44" s="4" t="str">
        <f>SUBSTITUTE(cleaned_data[[#This Row],[Street Address]],"St.","Street")</f>
        <v>2156 Suspendisse Rd.</v>
      </c>
      <c r="N44" s="4" t="str">
        <f>LEFT(cleaned_data[[#This Row],[Street Address]],FIND(" ",cleaned_data[[#This Row],[Street Address]])-1)</f>
        <v>2156</v>
      </c>
      <c r="O44" s="16">
        <f>raw_data[[#This Row],[Req Date]]</f>
        <v>41678</v>
      </c>
      <c r="P44" s="4">
        <f>YEAR(cleaned_data[[#This Row],[Req Date]])</f>
        <v>2014</v>
      </c>
      <c r="Q44" s="4">
        <f>MONTH(cleaned_data[[#This Row],[Req Date]])</f>
        <v>2</v>
      </c>
      <c r="R44" s="4">
        <f>DAY(cleaned_data[[#This Row],[Req Date]])</f>
        <v>8</v>
      </c>
    </row>
    <row r="45" spans="1:18" ht="15.6" x14ac:dyDescent="0.25">
      <c r="A45" s="4" t="str">
        <f>raw_data[[#This Row],[First Name]]</f>
        <v>Henry</v>
      </c>
      <c r="B45" s="4" t="str">
        <f>raw_data[[#This Row],[Last Name]]</f>
        <v>Peterson</v>
      </c>
      <c r="C45" s="4" t="str">
        <f>TRIM(cleaned_data[[#This Row],[First Name]]&amp; " "&amp;cleaned_data[[#This Row],[Last Name]])</f>
        <v>Henry Peterson</v>
      </c>
      <c r="D45" s="4" t="str">
        <f>raw_data[[#This Row],[Phone]]</f>
        <v>(950) 793-2920</v>
      </c>
      <c r="E45" s="4" t="str">
        <f>MID(cleaned_data[[#This Row],[Phone]],FIND("(",cleaned_data[[#This Row],[Phone]])+1,3)</f>
        <v>950</v>
      </c>
      <c r="F45" s="4" t="str">
        <f>RIGHT(SUBSTITUTE(cleaned_data[[#This Row],[Phone]],"-",""),7)</f>
        <v>7932920</v>
      </c>
      <c r="G45" s="4" t="str">
        <f>SUBSTITUTE(SUBSTITUTE(SUBSTITUTE(cleaned_data[[#This Row],[Phone]],"(",""),")","")," ","")</f>
        <v>950793-2920</v>
      </c>
      <c r="H45" s="4" t="str">
        <f>raw_data[[#This Row],[Street Address]]</f>
        <v>1465 Mollis St.</v>
      </c>
      <c r="I45" s="4" t="str">
        <f>TRIM(MID(cleaned_data[[#This Row],[Street Address]],FIND(" ",cleaned_data[[#This Row],[Street Address]])+1,LEN(cleaned_data[[#This Row],[Street Address]])))</f>
        <v>Mollis St.</v>
      </c>
      <c r="J45" s="15" t="str">
        <f>raw_data[[#This Row],[Zipcode]]</f>
        <v>25410</v>
      </c>
      <c r="K45" s="4" t="str">
        <f>cleaned_data[[#This Row],[Zipcode]]&amp;" - "&amp;cleaned_data[[#This Row],[Street Name]]</f>
        <v>25410 - Mollis St.</v>
      </c>
      <c r="L45" s="4" t="str">
        <f>LEFT(cleaned_data[[#This Row],[First Name]],3)&amp;LEFT(cleaned_data[[#This Row],[Last Name]],3)&amp;cleaned_data[[#This Row],[Area Code]]</f>
        <v>HenPet950</v>
      </c>
      <c r="M45" s="4" t="str">
        <f>SUBSTITUTE(cleaned_data[[#This Row],[Street Address]],"St.","Street")</f>
        <v>1465 Mollis Street</v>
      </c>
      <c r="N45" s="4" t="str">
        <f>LEFT(cleaned_data[[#This Row],[Street Address]],FIND(" ",cleaned_data[[#This Row],[Street Address]])-1)</f>
        <v>1465</v>
      </c>
      <c r="O45" s="16">
        <f>raw_data[[#This Row],[Req Date]]</f>
        <v>41679</v>
      </c>
      <c r="P45" s="4">
        <f>YEAR(cleaned_data[[#This Row],[Req Date]])</f>
        <v>2014</v>
      </c>
      <c r="Q45" s="4">
        <f>MONTH(cleaned_data[[#This Row],[Req Date]])</f>
        <v>2</v>
      </c>
      <c r="R45" s="4">
        <f>DAY(cleaned_data[[#This Row],[Req Date]])</f>
        <v>9</v>
      </c>
    </row>
    <row r="46" spans="1:18" ht="15.6" x14ac:dyDescent="0.25">
      <c r="A46" s="4" t="str">
        <f>raw_data[[#This Row],[First Name]]</f>
        <v>Cruz</v>
      </c>
      <c r="B46" s="4" t="str">
        <f>raw_data[[#This Row],[Last Name]]</f>
        <v>Goff</v>
      </c>
      <c r="C46" s="4" t="str">
        <f>TRIM(cleaned_data[[#This Row],[First Name]]&amp; " "&amp;cleaned_data[[#This Row],[Last Name]])</f>
        <v>Cruz Goff</v>
      </c>
      <c r="D46" s="4" t="str">
        <f>raw_data[[#This Row],[Phone]]</f>
        <v>(506) 657-8664</v>
      </c>
      <c r="E46" s="4" t="str">
        <f>MID(cleaned_data[[#This Row],[Phone]],FIND("(",cleaned_data[[#This Row],[Phone]])+1,3)</f>
        <v>506</v>
      </c>
      <c r="F46" s="4" t="str">
        <f>RIGHT(SUBSTITUTE(cleaned_data[[#This Row],[Phone]],"-",""),7)</f>
        <v>6578664</v>
      </c>
      <c r="G46" s="4" t="str">
        <f>SUBSTITUTE(SUBSTITUTE(SUBSTITUTE(cleaned_data[[#This Row],[Phone]],"(",""),")","")," ","")</f>
        <v>506657-8664</v>
      </c>
      <c r="H46" s="4" t="str">
        <f>raw_data[[#This Row],[Street Address]]</f>
        <v>993-6177 Magna Road</v>
      </c>
      <c r="I46" s="4" t="str">
        <f>TRIM(MID(cleaned_data[[#This Row],[Street Address]],FIND(" ",cleaned_data[[#This Row],[Street Address]])+1,LEN(cleaned_data[[#This Row],[Street Address]])))</f>
        <v>Magna Road</v>
      </c>
      <c r="J46" s="15" t="str">
        <f>raw_data[[#This Row],[Zipcode]]</f>
        <v>25411</v>
      </c>
      <c r="K46" s="4" t="str">
        <f>cleaned_data[[#This Row],[Zipcode]]&amp;" - "&amp;cleaned_data[[#This Row],[Street Name]]</f>
        <v>25411 - Magna Road</v>
      </c>
      <c r="L46" s="4" t="str">
        <f>LEFT(cleaned_data[[#This Row],[First Name]],3)&amp;LEFT(cleaned_data[[#This Row],[Last Name]],3)&amp;cleaned_data[[#This Row],[Area Code]]</f>
        <v>CruGof506</v>
      </c>
      <c r="M46" s="4" t="str">
        <f>SUBSTITUTE(cleaned_data[[#This Row],[Street Address]],"St.","Street")</f>
        <v>993-6177 Magna Road</v>
      </c>
      <c r="N46" s="4" t="str">
        <f>LEFT(cleaned_data[[#This Row],[Street Address]],FIND(" ",cleaned_data[[#This Row],[Street Address]])-1)</f>
        <v>993-6177</v>
      </c>
      <c r="O46" s="16">
        <f>raw_data[[#This Row],[Req Date]]</f>
        <v>41694</v>
      </c>
      <c r="P46" s="4">
        <f>YEAR(cleaned_data[[#This Row],[Req Date]])</f>
        <v>2014</v>
      </c>
      <c r="Q46" s="4">
        <f>MONTH(cleaned_data[[#This Row],[Req Date]])</f>
        <v>2</v>
      </c>
      <c r="R46" s="4">
        <f>DAY(cleaned_data[[#This Row],[Req Date]])</f>
        <v>24</v>
      </c>
    </row>
    <row r="47" spans="1:18" ht="15.6" x14ac:dyDescent="0.25">
      <c r="A47" s="4" t="str">
        <f>raw_data[[#This Row],[First Name]]</f>
        <v>David</v>
      </c>
      <c r="B47" s="4" t="str">
        <f>raw_data[[#This Row],[Last Name]]</f>
        <v>Miranda</v>
      </c>
      <c r="C47" s="4" t="str">
        <f>TRIM(cleaned_data[[#This Row],[First Name]]&amp; " "&amp;cleaned_data[[#This Row],[Last Name]])</f>
        <v>David Miranda</v>
      </c>
      <c r="D47" s="4" t="str">
        <f>raw_data[[#This Row],[Phone]]</f>
        <v>(788) 268-8538</v>
      </c>
      <c r="E47" s="4" t="str">
        <f>MID(cleaned_data[[#This Row],[Phone]],FIND("(",cleaned_data[[#This Row],[Phone]])+1,3)</f>
        <v>788</v>
      </c>
      <c r="F47" s="4" t="str">
        <f>RIGHT(SUBSTITUTE(cleaned_data[[#This Row],[Phone]],"-",""),7)</f>
        <v>2688538</v>
      </c>
      <c r="G47" s="4" t="str">
        <f>SUBSTITUTE(SUBSTITUTE(SUBSTITUTE(cleaned_data[[#This Row],[Phone]],"(",""),")","")," ","")</f>
        <v>788268-8538</v>
      </c>
      <c r="H47" s="4" t="str">
        <f>raw_data[[#This Row],[Street Address]]</f>
        <v>984 Tincidunt Ave.</v>
      </c>
      <c r="I47" s="4" t="str">
        <f>TRIM(MID(cleaned_data[[#This Row],[Street Address]],FIND(" ",cleaned_data[[#This Row],[Street Address]])+1,LEN(cleaned_data[[#This Row],[Street Address]])))</f>
        <v>Tincidunt Ave.</v>
      </c>
      <c r="J47" s="15" t="str">
        <f>raw_data[[#This Row],[Zipcode]]</f>
        <v>29481</v>
      </c>
      <c r="K47" s="4" t="str">
        <f>cleaned_data[[#This Row],[Zipcode]]&amp;" - "&amp;cleaned_data[[#This Row],[Street Name]]</f>
        <v>29481 - Tincidunt Ave.</v>
      </c>
      <c r="L47" s="4" t="str">
        <f>LEFT(cleaned_data[[#This Row],[First Name]],3)&amp;LEFT(cleaned_data[[#This Row],[Last Name]],3)&amp;cleaned_data[[#This Row],[Area Code]]</f>
        <v>DavMir788</v>
      </c>
      <c r="M47" s="4" t="str">
        <f>SUBSTITUTE(cleaned_data[[#This Row],[Street Address]],"St.","Street")</f>
        <v>984 Tincidunt Ave.</v>
      </c>
      <c r="N47" s="4" t="str">
        <f>LEFT(cleaned_data[[#This Row],[Street Address]],FIND(" ",cleaned_data[[#This Row],[Street Address]])-1)</f>
        <v>984</v>
      </c>
      <c r="O47" s="16">
        <f>raw_data[[#This Row],[Req Date]]</f>
        <v>41609</v>
      </c>
      <c r="P47" s="4">
        <f>YEAR(cleaned_data[[#This Row],[Req Date]])</f>
        <v>2013</v>
      </c>
      <c r="Q47" s="4">
        <f>MONTH(cleaned_data[[#This Row],[Req Date]])</f>
        <v>12</v>
      </c>
      <c r="R47" s="4">
        <f>DAY(cleaned_data[[#This Row],[Req Date]])</f>
        <v>1</v>
      </c>
    </row>
    <row r="48" spans="1:18" ht="15.6" x14ac:dyDescent="0.25">
      <c r="A48" s="4" t="str">
        <f>raw_data[[#This Row],[First Name]]</f>
        <v>McKenzie</v>
      </c>
      <c r="B48" s="4" t="str">
        <f>raw_data[[#This Row],[Last Name]]</f>
        <v>Burgess</v>
      </c>
      <c r="C48" s="4" t="str">
        <f>TRIM(cleaned_data[[#This Row],[First Name]]&amp; " "&amp;cleaned_data[[#This Row],[Last Name]])</f>
        <v>McKenzie Burgess</v>
      </c>
      <c r="D48" s="4" t="str">
        <f>raw_data[[#This Row],[Phone]]</f>
        <v>(792) 830-4872</v>
      </c>
      <c r="E48" s="4" t="str">
        <f>MID(cleaned_data[[#This Row],[Phone]],FIND("(",cleaned_data[[#This Row],[Phone]])+1,3)</f>
        <v>792</v>
      </c>
      <c r="F48" s="4" t="str">
        <f>RIGHT(SUBSTITUTE(cleaned_data[[#This Row],[Phone]],"-",""),7)</f>
        <v>8304872</v>
      </c>
      <c r="G48" s="4" t="str">
        <f>SUBSTITUTE(SUBSTITUTE(SUBSTITUTE(cleaned_data[[#This Row],[Phone]],"(",""),")","")," ","")</f>
        <v>792830-4872</v>
      </c>
      <c r="H48" s="4" t="str">
        <f>raw_data[[#This Row],[Street Address]]</f>
        <v>4848 Lacus Ave.</v>
      </c>
      <c r="I48" s="4" t="str">
        <f>TRIM(MID(cleaned_data[[#This Row],[Street Address]],FIND(" ",cleaned_data[[#This Row],[Street Address]])+1,LEN(cleaned_data[[#This Row],[Street Address]])))</f>
        <v>Lacus Ave.</v>
      </c>
      <c r="J48" s="15" t="str">
        <f>raw_data[[#This Row],[Zipcode]]</f>
        <v>29482</v>
      </c>
      <c r="K48" s="4" t="str">
        <f>cleaned_data[[#This Row],[Zipcode]]&amp;" - "&amp;cleaned_data[[#This Row],[Street Name]]</f>
        <v>29482 - Lacus Ave.</v>
      </c>
      <c r="L48" s="4" t="str">
        <f>LEFT(cleaned_data[[#This Row],[First Name]],3)&amp;LEFT(cleaned_data[[#This Row],[Last Name]],3)&amp;cleaned_data[[#This Row],[Area Code]]</f>
        <v>McKBur792</v>
      </c>
      <c r="M48" s="4" t="str">
        <f>SUBSTITUTE(cleaned_data[[#This Row],[Street Address]],"St.","Street")</f>
        <v>4848 Lacus Ave.</v>
      </c>
      <c r="N48" s="4" t="str">
        <f>LEFT(cleaned_data[[#This Row],[Street Address]],FIND(" ",cleaned_data[[#This Row],[Street Address]])-1)</f>
        <v>4848</v>
      </c>
      <c r="O48" s="16">
        <f>raw_data[[#This Row],[Req Date]]</f>
        <v>41662</v>
      </c>
      <c r="P48" s="4">
        <f>YEAR(cleaned_data[[#This Row],[Req Date]])</f>
        <v>2014</v>
      </c>
      <c r="Q48" s="4">
        <f>MONTH(cleaned_data[[#This Row],[Req Date]])</f>
        <v>1</v>
      </c>
      <c r="R48" s="4">
        <f>DAY(cleaned_data[[#This Row],[Req Date]])</f>
        <v>23</v>
      </c>
    </row>
    <row r="49" spans="1:18" ht="15.6" x14ac:dyDescent="0.25">
      <c r="A49" s="4" t="str">
        <f>raw_data[[#This Row],[First Name]]</f>
        <v>Irma</v>
      </c>
      <c r="B49" s="4" t="str">
        <f>raw_data[[#This Row],[Last Name]]</f>
        <v>Sargent</v>
      </c>
      <c r="C49" s="4" t="str">
        <f>TRIM(cleaned_data[[#This Row],[First Name]]&amp; " "&amp;cleaned_data[[#This Row],[Last Name]])</f>
        <v>Irma Sargent</v>
      </c>
      <c r="D49" s="4" t="str">
        <f>raw_data[[#This Row],[Phone]]</f>
        <v>(503) 683-9506</v>
      </c>
      <c r="E49" s="4" t="str">
        <f>MID(cleaned_data[[#This Row],[Phone]],FIND("(",cleaned_data[[#This Row],[Phone]])+1,3)</f>
        <v>503</v>
      </c>
      <c r="F49" s="4" t="str">
        <f>RIGHT(SUBSTITUTE(cleaned_data[[#This Row],[Phone]],"-",""),7)</f>
        <v>6839506</v>
      </c>
      <c r="G49" s="4" t="str">
        <f>SUBSTITUTE(SUBSTITUTE(SUBSTITUTE(cleaned_data[[#This Row],[Phone]],"(",""),")","")," ","")</f>
        <v>503683-9506</v>
      </c>
      <c r="H49" s="4" t="str">
        <f>raw_data[[#This Row],[Street Address]]</f>
        <v>3660 Wilson Street</v>
      </c>
      <c r="I49" s="4" t="str">
        <f>TRIM(MID(cleaned_data[[#This Row],[Street Address]],FIND(" ",cleaned_data[[#This Row],[Street Address]])+1,LEN(cleaned_data[[#This Row],[Street Address]])))</f>
        <v>Wilson Street</v>
      </c>
      <c r="J49" s="15" t="str">
        <f>raw_data[[#This Row],[Zipcode]]</f>
        <v>29483</v>
      </c>
      <c r="K49" s="4" t="str">
        <f>cleaned_data[[#This Row],[Zipcode]]&amp;" - "&amp;cleaned_data[[#This Row],[Street Name]]</f>
        <v>29483 - Wilson Street</v>
      </c>
      <c r="L49" s="4" t="str">
        <f>LEFT(cleaned_data[[#This Row],[First Name]],3)&amp;LEFT(cleaned_data[[#This Row],[Last Name]],3)&amp;cleaned_data[[#This Row],[Area Code]]</f>
        <v>IrmSar503</v>
      </c>
      <c r="M49" s="4" t="str">
        <f>SUBSTITUTE(cleaned_data[[#This Row],[Street Address]],"St.","Street")</f>
        <v>3660 Wilson Street</v>
      </c>
      <c r="N49" s="4" t="str">
        <f>LEFT(cleaned_data[[#This Row],[Street Address]],FIND(" ",cleaned_data[[#This Row],[Street Address]])-1)</f>
        <v>3660</v>
      </c>
      <c r="O49" s="16">
        <f>raw_data[[#This Row],[Req Date]]</f>
        <v>41651</v>
      </c>
      <c r="P49" s="4">
        <f>YEAR(cleaned_data[[#This Row],[Req Date]])</f>
        <v>2014</v>
      </c>
      <c r="Q49" s="4">
        <f>MONTH(cleaned_data[[#This Row],[Req Date]])</f>
        <v>1</v>
      </c>
      <c r="R49" s="4">
        <f>DAY(cleaned_data[[#This Row],[Req Date]])</f>
        <v>12</v>
      </c>
    </row>
    <row r="50" spans="1:18" ht="15.6" x14ac:dyDescent="0.25">
      <c r="A50" s="4" t="str">
        <f>raw_data[[#This Row],[First Name]]</f>
        <v>Olga</v>
      </c>
      <c r="B50" s="4" t="str">
        <f>raw_data[[#This Row],[Last Name]]</f>
        <v>Boyle</v>
      </c>
      <c r="C50" s="4" t="str">
        <f>TRIM(cleaned_data[[#This Row],[First Name]]&amp; " "&amp;cleaned_data[[#This Row],[Last Name]])</f>
        <v>Olga Boyle</v>
      </c>
      <c r="D50" s="4" t="str">
        <f>raw_data[[#This Row],[Phone]]</f>
        <v>(846) 514-5886</v>
      </c>
      <c r="E50" s="4" t="str">
        <f>MID(cleaned_data[[#This Row],[Phone]],FIND("(",cleaned_data[[#This Row],[Phone]])+1,3)</f>
        <v>846</v>
      </c>
      <c r="F50" s="4" t="str">
        <f>RIGHT(SUBSTITUTE(cleaned_data[[#This Row],[Phone]],"-",""),7)</f>
        <v>5145886</v>
      </c>
      <c r="G50" s="4" t="str">
        <f>SUBSTITUTE(SUBSTITUTE(SUBSTITUTE(cleaned_data[[#This Row],[Phone]],"(",""),")","")," ","")</f>
        <v>846514-5886</v>
      </c>
      <c r="H50" s="4" t="str">
        <f>raw_data[[#This Row],[Street Address]]</f>
        <v>4389 Wonderland Rd.</v>
      </c>
      <c r="I50" s="4" t="str">
        <f>TRIM(MID(cleaned_data[[#This Row],[Street Address]],FIND(" ",cleaned_data[[#This Row],[Street Address]])+1,LEN(cleaned_data[[#This Row],[Street Address]])))</f>
        <v>Wonderland Rd.</v>
      </c>
      <c r="J50" s="15" t="str">
        <f>raw_data[[#This Row],[Zipcode]]</f>
        <v>29493</v>
      </c>
      <c r="K50" s="4" t="str">
        <f>cleaned_data[[#This Row],[Zipcode]]&amp;" - "&amp;cleaned_data[[#This Row],[Street Name]]</f>
        <v>29493 - Wonderland Rd.</v>
      </c>
      <c r="L50" s="4" t="str">
        <f>LEFT(cleaned_data[[#This Row],[First Name]],3)&amp;LEFT(cleaned_data[[#This Row],[Last Name]],3)&amp;cleaned_data[[#This Row],[Area Code]]</f>
        <v>OlgBoy846</v>
      </c>
      <c r="M50" s="4" t="str">
        <f>SUBSTITUTE(cleaned_data[[#This Row],[Street Address]],"St.","Street")</f>
        <v>4389 Wonderland Rd.</v>
      </c>
      <c r="N50" s="4" t="str">
        <f>LEFT(cleaned_data[[#This Row],[Street Address]],FIND(" ",cleaned_data[[#This Row],[Street Address]])-1)</f>
        <v>4389</v>
      </c>
      <c r="O50" s="16">
        <f>raw_data[[#This Row],[Req Date]]</f>
        <v>41696</v>
      </c>
      <c r="P50" s="4">
        <f>YEAR(cleaned_data[[#This Row],[Req Date]])</f>
        <v>2014</v>
      </c>
      <c r="Q50" s="4">
        <f>MONTH(cleaned_data[[#This Row],[Req Date]])</f>
        <v>2</v>
      </c>
      <c r="R50" s="4">
        <f>DAY(cleaned_data[[#This Row],[Req Date]])</f>
        <v>26</v>
      </c>
    </row>
    <row r="51" spans="1:18" ht="15.6" x14ac:dyDescent="0.25">
      <c r="A51" s="4" t="str">
        <f>raw_data[[#This Row],[First Name]]</f>
        <v>Malik</v>
      </c>
      <c r="B51" s="4" t="str">
        <f>raw_data[[#This Row],[Last Name]]</f>
        <v>Cabrera</v>
      </c>
      <c r="C51" s="4" t="str">
        <f>TRIM(cleaned_data[[#This Row],[First Name]]&amp; " "&amp;cleaned_data[[#This Row],[Last Name]])</f>
        <v>Malik Cabrera</v>
      </c>
      <c r="D51" s="4" t="str">
        <f>raw_data[[#This Row],[Phone]]</f>
        <v>(523) 654-6421</v>
      </c>
      <c r="E51" s="4" t="str">
        <f>MID(cleaned_data[[#This Row],[Phone]],FIND("(",cleaned_data[[#This Row],[Phone]])+1,3)</f>
        <v>523</v>
      </c>
      <c r="F51" s="4" t="str">
        <f>RIGHT(SUBSTITUTE(cleaned_data[[#This Row],[Phone]],"-",""),7)</f>
        <v>6546421</v>
      </c>
      <c r="G51" s="4" t="str">
        <f>SUBSTITUTE(SUBSTITUTE(SUBSTITUTE(cleaned_data[[#This Row],[Phone]],"(",""),")","")," ","")</f>
        <v>523654-6421</v>
      </c>
      <c r="H51" s="4" t="str">
        <f>raw_data[[#This Row],[Street Address]]</f>
        <v>2437 Gravida Ave.</v>
      </c>
      <c r="I51" s="4" t="str">
        <f>TRIM(MID(cleaned_data[[#This Row],[Street Address]],FIND(" ",cleaned_data[[#This Row],[Street Address]])+1,LEN(cleaned_data[[#This Row],[Street Address]])))</f>
        <v>Gravida Ave.</v>
      </c>
      <c r="J51" s="15" t="str">
        <f>raw_data[[#This Row],[Zipcode]]</f>
        <v>29501</v>
      </c>
      <c r="K51" s="4" t="str">
        <f>cleaned_data[[#This Row],[Zipcode]]&amp;" - "&amp;cleaned_data[[#This Row],[Street Name]]</f>
        <v>29501 - Gravida Ave.</v>
      </c>
      <c r="L51" s="4" t="str">
        <f>LEFT(cleaned_data[[#This Row],[First Name]],3)&amp;LEFT(cleaned_data[[#This Row],[Last Name]],3)&amp;cleaned_data[[#This Row],[Area Code]]</f>
        <v>MalCab523</v>
      </c>
      <c r="M51" s="4" t="str">
        <f>SUBSTITUTE(cleaned_data[[#This Row],[Street Address]],"St.","Street")</f>
        <v>2437 Gravida Ave.</v>
      </c>
      <c r="N51" s="4" t="str">
        <f>LEFT(cleaned_data[[#This Row],[Street Address]],FIND(" ",cleaned_data[[#This Row],[Street Address]])-1)</f>
        <v>2437</v>
      </c>
      <c r="O51" s="16">
        <f>raw_data[[#This Row],[Req Date]]</f>
        <v>41619</v>
      </c>
      <c r="P51" s="4">
        <f>YEAR(cleaned_data[[#This Row],[Req Date]])</f>
        <v>2013</v>
      </c>
      <c r="Q51" s="4">
        <f>MONTH(cleaned_data[[#This Row],[Req Date]])</f>
        <v>12</v>
      </c>
      <c r="R51" s="4">
        <f>DAY(cleaned_data[[#This Row],[Req Date]])</f>
        <v>11</v>
      </c>
    </row>
    <row r="52" spans="1:18" ht="15.6" x14ac:dyDescent="0.25">
      <c r="A52" s="4" t="str">
        <f>raw_data[[#This Row],[First Name]]</f>
        <v>Jameson</v>
      </c>
      <c r="B52" s="4" t="str">
        <f>raw_data[[#This Row],[Last Name]]</f>
        <v>Silva</v>
      </c>
      <c r="C52" s="4" t="str">
        <f>TRIM(cleaned_data[[#This Row],[First Name]]&amp; " "&amp;cleaned_data[[#This Row],[Last Name]])</f>
        <v>Jameson Silva</v>
      </c>
      <c r="D52" s="4" t="str">
        <f>raw_data[[#This Row],[Phone]]</f>
        <v>(354) 950-3855</v>
      </c>
      <c r="E52" s="4" t="str">
        <f>MID(cleaned_data[[#This Row],[Phone]],FIND("(",cleaned_data[[#This Row],[Phone]])+1,3)</f>
        <v>354</v>
      </c>
      <c r="F52" s="4" t="str">
        <f>RIGHT(SUBSTITUTE(cleaned_data[[#This Row],[Phone]],"-",""),7)</f>
        <v>9503855</v>
      </c>
      <c r="G52" s="4" t="str">
        <f>SUBSTITUTE(SUBSTITUTE(SUBSTITUTE(cleaned_data[[#This Row],[Phone]],"(",""),")","")," ","")</f>
        <v>354950-3855</v>
      </c>
      <c r="H52" s="4" t="str">
        <f>raw_data[[#This Row],[Street Address]]</f>
        <v>9216 Euismod Street</v>
      </c>
      <c r="I52" s="4" t="str">
        <f>TRIM(MID(cleaned_data[[#This Row],[Street Address]],FIND(" ",cleaned_data[[#This Row],[Street Address]])+1,LEN(cleaned_data[[#This Row],[Street Address]])))</f>
        <v>Euismod Street</v>
      </c>
      <c r="J52" s="15" t="str">
        <f>raw_data[[#This Row],[Zipcode]]</f>
        <v>30049</v>
      </c>
      <c r="K52" s="4" t="str">
        <f>cleaned_data[[#This Row],[Zipcode]]&amp;" - "&amp;cleaned_data[[#This Row],[Street Name]]</f>
        <v>30049 - Euismod Street</v>
      </c>
      <c r="L52" s="4" t="str">
        <f>LEFT(cleaned_data[[#This Row],[First Name]],3)&amp;LEFT(cleaned_data[[#This Row],[Last Name]],3)&amp;cleaned_data[[#This Row],[Area Code]]</f>
        <v>JamSil354</v>
      </c>
      <c r="M52" s="4" t="str">
        <f>SUBSTITUTE(cleaned_data[[#This Row],[Street Address]],"St.","Street")</f>
        <v>9216 Euismod Street</v>
      </c>
      <c r="N52" s="4" t="str">
        <f>LEFT(cleaned_data[[#This Row],[Street Address]],FIND(" ",cleaned_data[[#This Row],[Street Address]])-1)</f>
        <v>9216</v>
      </c>
      <c r="O52" s="16">
        <f>raw_data[[#This Row],[Req Date]]</f>
        <v>41660</v>
      </c>
      <c r="P52" s="4">
        <f>YEAR(cleaned_data[[#This Row],[Req Date]])</f>
        <v>2014</v>
      </c>
      <c r="Q52" s="4">
        <f>MONTH(cleaned_data[[#This Row],[Req Date]])</f>
        <v>1</v>
      </c>
      <c r="R52" s="4">
        <f>DAY(cleaned_data[[#This Row],[Req Date]])</f>
        <v>21</v>
      </c>
    </row>
    <row r="53" spans="1:18" ht="15.6" x14ac:dyDescent="0.25">
      <c r="A53" s="4" t="str">
        <f>raw_data[[#This Row],[First Name]]</f>
        <v>Tad</v>
      </c>
      <c r="B53" s="4" t="str">
        <f>raw_data[[#This Row],[Last Name]]</f>
        <v>Ballard</v>
      </c>
      <c r="C53" s="4" t="str">
        <f>TRIM(cleaned_data[[#This Row],[First Name]]&amp; " "&amp;cleaned_data[[#This Row],[Last Name]])</f>
        <v>Tad Ballard</v>
      </c>
      <c r="D53" s="4" t="str">
        <f>raw_data[[#This Row],[Phone]]</f>
        <v>(586) 879-7133</v>
      </c>
      <c r="E53" s="4" t="str">
        <f>MID(cleaned_data[[#This Row],[Phone]],FIND("(",cleaned_data[[#This Row],[Phone]])+1,3)</f>
        <v>586</v>
      </c>
      <c r="F53" s="4" t="str">
        <f>RIGHT(SUBSTITUTE(cleaned_data[[#This Row],[Phone]],"-",""),7)</f>
        <v>8797133</v>
      </c>
      <c r="G53" s="4" t="str">
        <f>SUBSTITUTE(SUBSTITUTE(SUBSTITUTE(cleaned_data[[#This Row],[Phone]],"(",""),")","")," ","")</f>
        <v>586879-7133</v>
      </c>
      <c r="H53" s="4" t="str">
        <f>raw_data[[#This Row],[Street Address]]</f>
        <v>6632 Noon St.</v>
      </c>
      <c r="I53" s="4" t="str">
        <f>TRIM(MID(cleaned_data[[#This Row],[Street Address]],FIND(" ",cleaned_data[[#This Row],[Street Address]])+1,LEN(cleaned_data[[#This Row],[Street Address]])))</f>
        <v>Noon St.</v>
      </c>
      <c r="J53" s="15" t="str">
        <f>raw_data[[#This Row],[Zipcode]]</f>
        <v>30052</v>
      </c>
      <c r="K53" s="4" t="str">
        <f>cleaned_data[[#This Row],[Zipcode]]&amp;" - "&amp;cleaned_data[[#This Row],[Street Name]]</f>
        <v>30052 - Noon St.</v>
      </c>
      <c r="L53" s="4" t="str">
        <f>LEFT(cleaned_data[[#This Row],[First Name]],3)&amp;LEFT(cleaned_data[[#This Row],[Last Name]],3)&amp;cleaned_data[[#This Row],[Area Code]]</f>
        <v>TadBal586</v>
      </c>
      <c r="M53" s="4" t="str">
        <f>SUBSTITUTE(cleaned_data[[#This Row],[Street Address]],"St.","Street")</f>
        <v>6632 Noon Street</v>
      </c>
      <c r="N53" s="4" t="str">
        <f>LEFT(cleaned_data[[#This Row],[Street Address]],FIND(" ",cleaned_data[[#This Row],[Street Address]])-1)</f>
        <v>6632</v>
      </c>
      <c r="O53" s="16">
        <f>raw_data[[#This Row],[Req Date]]</f>
        <v>41635</v>
      </c>
      <c r="P53" s="4">
        <f>YEAR(cleaned_data[[#This Row],[Req Date]])</f>
        <v>2013</v>
      </c>
      <c r="Q53" s="4">
        <f>MONTH(cleaned_data[[#This Row],[Req Date]])</f>
        <v>12</v>
      </c>
      <c r="R53" s="4">
        <f>DAY(cleaned_data[[#This Row],[Req Date]])</f>
        <v>27</v>
      </c>
    </row>
    <row r="54" spans="1:18" ht="15.6" x14ac:dyDescent="0.25">
      <c r="A54" s="4" t="str">
        <f>raw_data[[#This Row],[First Name]]</f>
        <v>Noelle</v>
      </c>
      <c r="B54" s="4" t="str">
        <f>raw_data[[#This Row],[Last Name]]</f>
        <v>Dunlap</v>
      </c>
      <c r="C54" s="4" t="str">
        <f>TRIM(cleaned_data[[#This Row],[First Name]]&amp; " "&amp;cleaned_data[[#This Row],[Last Name]])</f>
        <v>Noelle Dunlap</v>
      </c>
      <c r="D54" s="4" t="str">
        <f>raw_data[[#This Row],[Phone]]</f>
        <v>(404) 580-7292</v>
      </c>
      <c r="E54" s="4" t="str">
        <f>MID(cleaned_data[[#This Row],[Phone]],FIND("(",cleaned_data[[#This Row],[Phone]])+1,3)</f>
        <v>404</v>
      </c>
      <c r="F54" s="4" t="str">
        <f>RIGHT(SUBSTITUTE(cleaned_data[[#This Row],[Phone]],"-",""),7)</f>
        <v>5807292</v>
      </c>
      <c r="G54" s="4" t="str">
        <f>SUBSTITUTE(SUBSTITUTE(SUBSTITUTE(cleaned_data[[#This Row],[Phone]],"(",""),")","")," ","")</f>
        <v>404580-7292</v>
      </c>
      <c r="H54" s="4" t="str">
        <f>raw_data[[#This Row],[Street Address]]</f>
        <v>5831 Million Rd.</v>
      </c>
      <c r="I54" s="4" t="str">
        <f>TRIM(MID(cleaned_data[[#This Row],[Street Address]],FIND(" ",cleaned_data[[#This Row],[Street Address]])+1,LEN(cleaned_data[[#This Row],[Street Address]])))</f>
        <v>Million Rd.</v>
      </c>
      <c r="J54" s="15" t="str">
        <f>raw_data[[#This Row],[Zipcode]]</f>
        <v>30054</v>
      </c>
      <c r="K54" s="4" t="str">
        <f>cleaned_data[[#This Row],[Zipcode]]&amp;" - "&amp;cleaned_data[[#This Row],[Street Name]]</f>
        <v>30054 - Million Rd.</v>
      </c>
      <c r="L54" s="4" t="str">
        <f>LEFT(cleaned_data[[#This Row],[First Name]],3)&amp;LEFT(cleaned_data[[#This Row],[Last Name]],3)&amp;cleaned_data[[#This Row],[Area Code]]</f>
        <v>NoeDun404</v>
      </c>
      <c r="M54" s="4" t="str">
        <f>SUBSTITUTE(cleaned_data[[#This Row],[Street Address]],"St.","Street")</f>
        <v>5831 Million Rd.</v>
      </c>
      <c r="N54" s="4" t="str">
        <f>LEFT(cleaned_data[[#This Row],[Street Address]],FIND(" ",cleaned_data[[#This Row],[Street Address]])-1)</f>
        <v>5831</v>
      </c>
      <c r="O54" s="16">
        <f>raw_data[[#This Row],[Req Date]]</f>
        <v>41681</v>
      </c>
      <c r="P54" s="4">
        <f>YEAR(cleaned_data[[#This Row],[Req Date]])</f>
        <v>2014</v>
      </c>
      <c r="Q54" s="4">
        <f>MONTH(cleaned_data[[#This Row],[Req Date]])</f>
        <v>2</v>
      </c>
      <c r="R54" s="4">
        <f>DAY(cleaned_data[[#This Row],[Req Date]])</f>
        <v>11</v>
      </c>
    </row>
    <row r="55" spans="1:18" ht="15.6" x14ac:dyDescent="0.25">
      <c r="A55" s="4" t="str">
        <f>raw_data[[#This Row],[First Name]]</f>
        <v>Wang</v>
      </c>
      <c r="B55" s="4" t="str">
        <f>raw_data[[#This Row],[Last Name]]</f>
        <v>Stuart</v>
      </c>
      <c r="C55" s="4" t="str">
        <f>TRIM(cleaned_data[[#This Row],[First Name]]&amp; " "&amp;cleaned_data[[#This Row],[Last Name]])</f>
        <v>Wang Stuart</v>
      </c>
      <c r="D55" s="4" t="str">
        <f>raw_data[[#This Row],[Phone]]</f>
        <v>(774) 869-2232</v>
      </c>
      <c r="E55" s="4" t="str">
        <f>MID(cleaned_data[[#This Row],[Phone]],FIND("(",cleaned_data[[#This Row],[Phone]])+1,3)</f>
        <v>774</v>
      </c>
      <c r="F55" s="4" t="str">
        <f>RIGHT(SUBSTITUTE(cleaned_data[[#This Row],[Phone]],"-",""),7)</f>
        <v>8692232</v>
      </c>
      <c r="G55" s="4" t="str">
        <f>SUBSTITUTE(SUBSTITUTE(SUBSTITUTE(cleaned_data[[#This Row],[Phone]],"(",""),")","")," ","")</f>
        <v>774869-2232</v>
      </c>
      <c r="H55" s="4" t="str">
        <f>raw_data[[#This Row],[Street Address]]</f>
        <v>762 Milk Street</v>
      </c>
      <c r="I55" s="4" t="str">
        <f>TRIM(MID(cleaned_data[[#This Row],[Street Address]],FIND(" ",cleaned_data[[#This Row],[Street Address]])+1,LEN(cleaned_data[[#This Row],[Street Address]])))</f>
        <v>Milk Street</v>
      </c>
      <c r="J55" s="15" t="str">
        <f>raw_data[[#This Row],[Zipcode]]</f>
        <v>30055</v>
      </c>
      <c r="K55" s="4" t="str">
        <f>cleaned_data[[#This Row],[Zipcode]]&amp;" - "&amp;cleaned_data[[#This Row],[Street Name]]</f>
        <v>30055 - Milk Street</v>
      </c>
      <c r="L55" s="4" t="str">
        <f>LEFT(cleaned_data[[#This Row],[First Name]],3)&amp;LEFT(cleaned_data[[#This Row],[Last Name]],3)&amp;cleaned_data[[#This Row],[Area Code]]</f>
        <v>WanStu774</v>
      </c>
      <c r="M55" s="4" t="str">
        <f>SUBSTITUTE(cleaned_data[[#This Row],[Street Address]],"St.","Street")</f>
        <v>762 Milk Street</v>
      </c>
      <c r="N55" s="4" t="str">
        <f>LEFT(cleaned_data[[#This Row],[Street Address]],FIND(" ",cleaned_data[[#This Row],[Street Address]])-1)</f>
        <v>762</v>
      </c>
      <c r="O55" s="16">
        <f>raw_data[[#This Row],[Req Date]]</f>
        <v>41688</v>
      </c>
      <c r="P55" s="4">
        <f>YEAR(cleaned_data[[#This Row],[Req Date]])</f>
        <v>2014</v>
      </c>
      <c r="Q55" s="4">
        <f>MONTH(cleaned_data[[#This Row],[Req Date]])</f>
        <v>2</v>
      </c>
      <c r="R55" s="4">
        <f>DAY(cleaned_data[[#This Row],[Req Date]])</f>
        <v>18</v>
      </c>
    </row>
    <row r="56" spans="1:18" ht="15.6" x14ac:dyDescent="0.25">
      <c r="A56" s="4" t="str">
        <f>raw_data[[#This Row],[First Name]]</f>
        <v>Margaret</v>
      </c>
      <c r="B56" s="4" t="str">
        <f>raw_data[[#This Row],[Last Name]]</f>
        <v>Slater</v>
      </c>
      <c r="C56" s="4" t="str">
        <f>TRIM(cleaned_data[[#This Row],[First Name]]&amp; " "&amp;cleaned_data[[#This Row],[Last Name]])</f>
        <v>Margaret Slater</v>
      </c>
      <c r="D56" s="4" t="str">
        <f>raw_data[[#This Row],[Phone]]</f>
        <v>(716) 867-8846</v>
      </c>
      <c r="E56" s="4" t="str">
        <f>MID(cleaned_data[[#This Row],[Phone]],FIND("(",cleaned_data[[#This Row],[Phone]])+1,3)</f>
        <v>716</v>
      </c>
      <c r="F56" s="4" t="str">
        <f>RIGHT(SUBSTITUTE(cleaned_data[[#This Row],[Phone]],"-",""),7)</f>
        <v>8678846</v>
      </c>
      <c r="G56" s="4" t="str">
        <f>SUBSTITUTE(SUBSTITUTE(SUBSTITUTE(cleaned_data[[#This Row],[Phone]],"(",""),")","")," ","")</f>
        <v>716867-8846</v>
      </c>
      <c r="H56" s="4" t="str">
        <f>raw_data[[#This Row],[Street Address]]</f>
        <v>5118 Vehicula Street</v>
      </c>
      <c r="I56" s="4" t="str">
        <f>TRIM(MID(cleaned_data[[#This Row],[Street Address]],FIND(" ",cleaned_data[[#This Row],[Street Address]])+1,LEN(cleaned_data[[#This Row],[Street Address]])))</f>
        <v>Vehicula Street</v>
      </c>
      <c r="J56" s="15" t="str">
        <f>raw_data[[#This Row],[Zipcode]]</f>
        <v>30056</v>
      </c>
      <c r="K56" s="4" t="str">
        <f>cleaned_data[[#This Row],[Zipcode]]&amp;" - "&amp;cleaned_data[[#This Row],[Street Name]]</f>
        <v>30056 - Vehicula Street</v>
      </c>
      <c r="L56" s="4" t="str">
        <f>LEFT(cleaned_data[[#This Row],[First Name]],3)&amp;LEFT(cleaned_data[[#This Row],[Last Name]],3)&amp;cleaned_data[[#This Row],[Area Code]]</f>
        <v>MarSla716</v>
      </c>
      <c r="M56" s="4" t="str">
        <f>SUBSTITUTE(cleaned_data[[#This Row],[Street Address]],"St.","Street")</f>
        <v>5118 Vehicula Street</v>
      </c>
      <c r="N56" s="4" t="str">
        <f>LEFT(cleaned_data[[#This Row],[Street Address]],FIND(" ",cleaned_data[[#This Row],[Street Address]])-1)</f>
        <v>5118</v>
      </c>
      <c r="O56" s="16">
        <f>raw_data[[#This Row],[Req Date]]</f>
        <v>41677</v>
      </c>
      <c r="P56" s="4">
        <f>YEAR(cleaned_data[[#This Row],[Req Date]])</f>
        <v>2014</v>
      </c>
      <c r="Q56" s="4">
        <f>MONTH(cleaned_data[[#This Row],[Req Date]])</f>
        <v>2</v>
      </c>
      <c r="R56" s="4">
        <f>DAY(cleaned_data[[#This Row],[Req Date]])</f>
        <v>7</v>
      </c>
    </row>
    <row r="57" spans="1:18" ht="15.6" x14ac:dyDescent="0.25">
      <c r="A57" s="4" t="str">
        <f>raw_data[[#This Row],[First Name]]</f>
        <v>Lunea</v>
      </c>
      <c r="B57" s="4" t="str">
        <f>raw_data[[#This Row],[Last Name]]</f>
        <v>Peters</v>
      </c>
      <c r="C57" s="4" t="str">
        <f>TRIM(cleaned_data[[#This Row],[First Name]]&amp; " "&amp;cleaned_data[[#This Row],[Last Name]])</f>
        <v>Lunea Peters</v>
      </c>
      <c r="D57" s="4" t="str">
        <f>raw_data[[#This Row],[Phone]]</f>
        <v>(159) 488-5646</v>
      </c>
      <c r="E57" s="4" t="str">
        <f>MID(cleaned_data[[#This Row],[Phone]],FIND("(",cleaned_data[[#This Row],[Phone]])+1,3)</f>
        <v>159</v>
      </c>
      <c r="F57" s="4" t="str">
        <f>RIGHT(SUBSTITUTE(cleaned_data[[#This Row],[Phone]],"-",""),7)</f>
        <v>4885646</v>
      </c>
      <c r="G57" s="4" t="str">
        <f>SUBSTITUTE(SUBSTITUTE(SUBSTITUTE(cleaned_data[[#This Row],[Phone]],"(",""),")","")," ","")</f>
        <v>159488-5646</v>
      </c>
      <c r="H57" s="4" t="str">
        <f>raw_data[[#This Row],[Street Address]]</f>
        <v>1753 Enamel Street</v>
      </c>
      <c r="I57" s="4" t="str">
        <f>TRIM(MID(cleaned_data[[#This Row],[Street Address]],FIND(" ",cleaned_data[[#This Row],[Street Address]])+1,LEN(cleaned_data[[#This Row],[Street Address]])))</f>
        <v>Enamel Street</v>
      </c>
      <c r="J57" s="15" t="str">
        <f>raw_data[[#This Row],[Zipcode]]</f>
        <v>30058</v>
      </c>
      <c r="K57" s="4" t="str">
        <f>cleaned_data[[#This Row],[Zipcode]]&amp;" - "&amp;cleaned_data[[#This Row],[Street Name]]</f>
        <v>30058 - Enamel Street</v>
      </c>
      <c r="L57" s="4" t="str">
        <f>LEFT(cleaned_data[[#This Row],[First Name]],3)&amp;LEFT(cleaned_data[[#This Row],[Last Name]],3)&amp;cleaned_data[[#This Row],[Area Code]]</f>
        <v>LunPet159</v>
      </c>
      <c r="M57" s="4" t="str">
        <f>SUBSTITUTE(cleaned_data[[#This Row],[Street Address]],"St.","Street")</f>
        <v>1753 Enamel Street</v>
      </c>
      <c r="N57" s="4" t="str">
        <f>LEFT(cleaned_data[[#This Row],[Street Address]],FIND(" ",cleaned_data[[#This Row],[Street Address]])-1)</f>
        <v>1753</v>
      </c>
      <c r="O57" s="16">
        <f>raw_data[[#This Row],[Req Date]]</f>
        <v>41682</v>
      </c>
      <c r="P57" s="4">
        <f>YEAR(cleaned_data[[#This Row],[Req Date]])</f>
        <v>2014</v>
      </c>
      <c r="Q57" s="4">
        <f>MONTH(cleaned_data[[#This Row],[Req Date]])</f>
        <v>2</v>
      </c>
      <c r="R57" s="4">
        <f>DAY(cleaned_data[[#This Row],[Req Date]])</f>
        <v>12</v>
      </c>
    </row>
    <row r="58" spans="1:18" ht="15.6" x14ac:dyDescent="0.25">
      <c r="A58" s="4" t="str">
        <f>raw_data[[#This Row],[First Name]]</f>
        <v>Kimberly</v>
      </c>
      <c r="B58" s="4" t="str">
        <f>raw_data[[#This Row],[Last Name]]</f>
        <v>Roach</v>
      </c>
      <c r="C58" s="4" t="str">
        <f>TRIM(cleaned_data[[#This Row],[First Name]]&amp; " "&amp;cleaned_data[[#This Row],[Last Name]])</f>
        <v>Kimberly Roach</v>
      </c>
      <c r="D58" s="4" t="str">
        <f>raw_data[[#This Row],[Phone]]</f>
        <v>(620) 778-7882</v>
      </c>
      <c r="E58" s="4" t="str">
        <f>MID(cleaned_data[[#This Row],[Phone]],FIND("(",cleaned_data[[#This Row],[Phone]])+1,3)</f>
        <v>620</v>
      </c>
      <c r="F58" s="4" t="str">
        <f>RIGHT(SUBSTITUTE(cleaned_data[[#This Row],[Phone]],"-",""),7)</f>
        <v>7787882</v>
      </c>
      <c r="G58" s="4" t="str">
        <f>SUBSTITUTE(SUBSTITUTE(SUBSTITUTE(cleaned_data[[#This Row],[Phone]],"(",""),")","")," ","")</f>
        <v>620778-7882</v>
      </c>
      <c r="H58" s="4" t="str">
        <f>raw_data[[#This Row],[Street Address]]</f>
        <v>7383 Interdum St.</v>
      </c>
      <c r="I58" s="4" t="str">
        <f>TRIM(MID(cleaned_data[[#This Row],[Street Address]],FIND(" ",cleaned_data[[#This Row],[Street Address]])+1,LEN(cleaned_data[[#This Row],[Street Address]])))</f>
        <v>Interdum St.</v>
      </c>
      <c r="J58" s="15" t="str">
        <f>raw_data[[#This Row],[Zipcode]]</f>
        <v>30060</v>
      </c>
      <c r="K58" s="4" t="str">
        <f>cleaned_data[[#This Row],[Zipcode]]&amp;" - "&amp;cleaned_data[[#This Row],[Street Name]]</f>
        <v>30060 - Interdum St.</v>
      </c>
      <c r="L58" s="4" t="str">
        <f>LEFT(cleaned_data[[#This Row],[First Name]],3)&amp;LEFT(cleaned_data[[#This Row],[Last Name]],3)&amp;cleaned_data[[#This Row],[Area Code]]</f>
        <v>KimRoa620</v>
      </c>
      <c r="M58" s="4" t="str">
        <f>SUBSTITUTE(cleaned_data[[#This Row],[Street Address]],"St.","Street")</f>
        <v>7383 Interdum Street</v>
      </c>
      <c r="N58" s="4" t="str">
        <f>LEFT(cleaned_data[[#This Row],[Street Address]],FIND(" ",cleaned_data[[#This Row],[Street Address]])-1)</f>
        <v>7383</v>
      </c>
      <c r="O58" s="16">
        <f>raw_data[[#This Row],[Req Date]]</f>
        <v>41640</v>
      </c>
      <c r="P58" s="4">
        <f>YEAR(cleaned_data[[#This Row],[Req Date]])</f>
        <v>2014</v>
      </c>
      <c r="Q58" s="4">
        <f>MONTH(cleaned_data[[#This Row],[Req Date]])</f>
        <v>1</v>
      </c>
      <c r="R58" s="4">
        <f>DAY(cleaned_data[[#This Row],[Req Date]])</f>
        <v>1</v>
      </c>
    </row>
    <row r="59" spans="1:18" ht="15.6" x14ac:dyDescent="0.25">
      <c r="A59" s="4" t="str">
        <f>raw_data[[#This Row],[First Name]]</f>
        <v>August</v>
      </c>
      <c r="B59" s="4" t="str">
        <f>raw_data[[#This Row],[Last Name]]</f>
        <v>Harvey</v>
      </c>
      <c r="C59" s="4" t="str">
        <f>TRIM(cleaned_data[[#This Row],[First Name]]&amp; " "&amp;cleaned_data[[#This Row],[Last Name]])</f>
        <v>August Harvey</v>
      </c>
      <c r="D59" s="4" t="str">
        <f>raw_data[[#This Row],[Phone]]</f>
        <v>(863) 353-9891</v>
      </c>
      <c r="E59" s="4" t="str">
        <f>MID(cleaned_data[[#This Row],[Phone]],FIND("(",cleaned_data[[#This Row],[Phone]])+1,3)</f>
        <v>863</v>
      </c>
      <c r="F59" s="4" t="str">
        <f>RIGHT(SUBSTITUTE(cleaned_data[[#This Row],[Phone]],"-",""),7)</f>
        <v>3539891</v>
      </c>
      <c r="G59" s="4" t="str">
        <f>SUBSTITUTE(SUBSTITUTE(SUBSTITUTE(cleaned_data[[#This Row],[Phone]],"(",""),")","")," ","")</f>
        <v>863353-9891</v>
      </c>
      <c r="H59" s="4" t="str">
        <f>raw_data[[#This Row],[Street Address]]</f>
        <v>8070 Proin Ave.</v>
      </c>
      <c r="I59" s="4" t="str">
        <f>TRIM(MID(cleaned_data[[#This Row],[Street Address]],FIND(" ",cleaned_data[[#This Row],[Street Address]])+1,LEN(cleaned_data[[#This Row],[Street Address]])))</f>
        <v>Proin Ave.</v>
      </c>
      <c r="J59" s="15" t="str">
        <f>raw_data[[#This Row],[Zipcode]]</f>
        <v>32112</v>
      </c>
      <c r="K59" s="4" t="str">
        <f>cleaned_data[[#This Row],[Zipcode]]&amp;" - "&amp;cleaned_data[[#This Row],[Street Name]]</f>
        <v>32112 - Proin Ave.</v>
      </c>
      <c r="L59" s="4" t="str">
        <f>LEFT(cleaned_data[[#This Row],[First Name]],3)&amp;LEFT(cleaned_data[[#This Row],[Last Name]],3)&amp;cleaned_data[[#This Row],[Area Code]]</f>
        <v>AugHar863</v>
      </c>
      <c r="M59" s="4" t="str">
        <f>SUBSTITUTE(cleaned_data[[#This Row],[Street Address]],"St.","Street")</f>
        <v>8070 Proin Ave.</v>
      </c>
      <c r="N59" s="4" t="str">
        <f>LEFT(cleaned_data[[#This Row],[Street Address]],FIND(" ",cleaned_data[[#This Row],[Street Address]])-1)</f>
        <v>8070</v>
      </c>
      <c r="O59" s="16">
        <f>raw_data[[#This Row],[Req Date]]</f>
        <v>41689</v>
      </c>
      <c r="P59" s="4">
        <f>YEAR(cleaned_data[[#This Row],[Req Date]])</f>
        <v>2014</v>
      </c>
      <c r="Q59" s="4">
        <f>MONTH(cleaned_data[[#This Row],[Req Date]])</f>
        <v>2</v>
      </c>
      <c r="R59" s="4">
        <f>DAY(cleaned_data[[#This Row],[Req Date]])</f>
        <v>19</v>
      </c>
    </row>
    <row r="60" spans="1:18" ht="15.6" x14ac:dyDescent="0.25">
      <c r="A60" s="4" t="str">
        <f>raw_data[[#This Row],[First Name]]</f>
        <v>Ori</v>
      </c>
      <c r="B60" s="4" t="str">
        <f>raw_data[[#This Row],[Last Name]]</f>
        <v>Myers</v>
      </c>
      <c r="C60" s="4" t="str">
        <f>TRIM(cleaned_data[[#This Row],[First Name]]&amp; " "&amp;cleaned_data[[#This Row],[Last Name]])</f>
        <v>Ori Myers</v>
      </c>
      <c r="D60" s="4" t="str">
        <f>raw_data[[#This Row],[Phone]]</f>
        <v>(651) 955-7705</v>
      </c>
      <c r="E60" s="4" t="str">
        <f>MID(cleaned_data[[#This Row],[Phone]],FIND("(",cleaned_data[[#This Row],[Phone]])+1,3)</f>
        <v>651</v>
      </c>
      <c r="F60" s="4" t="str">
        <f>RIGHT(SUBSTITUTE(cleaned_data[[#This Row],[Phone]],"-",""),7)</f>
        <v>9557705</v>
      </c>
      <c r="G60" s="4" t="str">
        <f>SUBSTITUTE(SUBSTITUTE(SUBSTITUTE(cleaned_data[[#This Row],[Phone]],"(",""),")","")," ","")</f>
        <v>651955-7705</v>
      </c>
      <c r="H60" s="4" t="str">
        <f>raw_data[[#This Row],[Street Address]]</f>
        <v>8999 Zue Road</v>
      </c>
      <c r="I60" s="4" t="str">
        <f>TRIM(MID(cleaned_data[[#This Row],[Street Address]],FIND(" ",cleaned_data[[#This Row],[Street Address]])+1,LEN(cleaned_data[[#This Row],[Street Address]])))</f>
        <v>Zue Road</v>
      </c>
      <c r="J60" s="15" t="str">
        <f>raw_data[[#This Row],[Zipcode]]</f>
        <v>32113</v>
      </c>
      <c r="K60" s="4" t="str">
        <f>cleaned_data[[#This Row],[Zipcode]]&amp;" - "&amp;cleaned_data[[#This Row],[Street Name]]</f>
        <v>32113 - Zue Road</v>
      </c>
      <c r="L60" s="4" t="str">
        <f>LEFT(cleaned_data[[#This Row],[First Name]],3)&amp;LEFT(cleaned_data[[#This Row],[Last Name]],3)&amp;cleaned_data[[#This Row],[Area Code]]</f>
        <v>OriMye651</v>
      </c>
      <c r="M60" s="4" t="str">
        <f>SUBSTITUTE(cleaned_data[[#This Row],[Street Address]],"St.","Street")</f>
        <v>8999 Zue Road</v>
      </c>
      <c r="N60" s="4" t="str">
        <f>LEFT(cleaned_data[[#This Row],[Street Address]],FIND(" ",cleaned_data[[#This Row],[Street Address]])-1)</f>
        <v>8999</v>
      </c>
      <c r="O60" s="16">
        <f>raw_data[[#This Row],[Req Date]]</f>
        <v>41616</v>
      </c>
      <c r="P60" s="4">
        <f>YEAR(cleaned_data[[#This Row],[Req Date]])</f>
        <v>2013</v>
      </c>
      <c r="Q60" s="4">
        <f>MONTH(cleaned_data[[#This Row],[Req Date]])</f>
        <v>12</v>
      </c>
      <c r="R60" s="4">
        <f>DAY(cleaned_data[[#This Row],[Req Date]])</f>
        <v>8</v>
      </c>
    </row>
    <row r="61" spans="1:18" ht="15.6" x14ac:dyDescent="0.25">
      <c r="A61" s="4" t="str">
        <f>raw_data[[#This Row],[First Name]]</f>
        <v>Quail</v>
      </c>
      <c r="B61" s="4" t="str">
        <f>raw_data[[#This Row],[Last Name]]</f>
        <v>Rodgers</v>
      </c>
      <c r="C61" s="4" t="str">
        <f>TRIM(cleaned_data[[#This Row],[First Name]]&amp; " "&amp;cleaned_data[[#This Row],[Last Name]])</f>
        <v>Quail Rodgers</v>
      </c>
      <c r="D61" s="4" t="str">
        <f>raw_data[[#This Row],[Phone]]</f>
        <v>(695) 270-0516</v>
      </c>
      <c r="E61" s="4" t="str">
        <f>MID(cleaned_data[[#This Row],[Phone]],FIND("(",cleaned_data[[#This Row],[Phone]])+1,3)</f>
        <v>695</v>
      </c>
      <c r="F61" s="4" t="str">
        <f>RIGHT(SUBSTITUTE(cleaned_data[[#This Row],[Phone]],"-",""),7)</f>
        <v>2700516</v>
      </c>
      <c r="G61" s="4" t="str">
        <f>SUBSTITUTE(SUBSTITUTE(SUBSTITUTE(cleaned_data[[#This Row],[Phone]],"(",""),")","")," ","")</f>
        <v>695270-0516</v>
      </c>
      <c r="H61" s="4" t="str">
        <f>raw_data[[#This Row],[Street Address]]</f>
        <v>8767 Vitae Street</v>
      </c>
      <c r="I61" s="4" t="str">
        <f>TRIM(MID(cleaned_data[[#This Row],[Street Address]],FIND(" ",cleaned_data[[#This Row],[Street Address]])+1,LEN(cleaned_data[[#This Row],[Street Address]])))</f>
        <v>Vitae Street</v>
      </c>
      <c r="J61" s="15" t="str">
        <f>raw_data[[#This Row],[Zipcode]]</f>
        <v>32114</v>
      </c>
      <c r="K61" s="4" t="str">
        <f>cleaned_data[[#This Row],[Zipcode]]&amp;" - "&amp;cleaned_data[[#This Row],[Street Name]]</f>
        <v>32114 - Vitae Street</v>
      </c>
      <c r="L61" s="4" t="str">
        <f>LEFT(cleaned_data[[#This Row],[First Name]],3)&amp;LEFT(cleaned_data[[#This Row],[Last Name]],3)&amp;cleaned_data[[#This Row],[Area Code]]</f>
        <v>QuaRod695</v>
      </c>
      <c r="M61" s="4" t="str">
        <f>SUBSTITUTE(cleaned_data[[#This Row],[Street Address]],"St.","Street")</f>
        <v>8767 Vitae Street</v>
      </c>
      <c r="N61" s="4" t="str">
        <f>LEFT(cleaned_data[[#This Row],[Street Address]],FIND(" ",cleaned_data[[#This Row],[Street Address]])-1)</f>
        <v>8767</v>
      </c>
      <c r="O61" s="16">
        <f>raw_data[[#This Row],[Req Date]]</f>
        <v>41651</v>
      </c>
      <c r="P61" s="4">
        <f>YEAR(cleaned_data[[#This Row],[Req Date]])</f>
        <v>2014</v>
      </c>
      <c r="Q61" s="4">
        <f>MONTH(cleaned_data[[#This Row],[Req Date]])</f>
        <v>1</v>
      </c>
      <c r="R61" s="4">
        <f>DAY(cleaned_data[[#This Row],[Req Date]])</f>
        <v>12</v>
      </c>
    </row>
    <row r="62" spans="1:18" ht="15.6" x14ac:dyDescent="0.25">
      <c r="A62" s="4" t="str">
        <f>raw_data[[#This Row],[First Name]]</f>
        <v>Idona</v>
      </c>
      <c r="B62" s="4" t="str">
        <f>raw_data[[#This Row],[Last Name]]</f>
        <v>Williams</v>
      </c>
      <c r="C62" s="4" t="str">
        <f>TRIM(cleaned_data[[#This Row],[First Name]]&amp; " "&amp;cleaned_data[[#This Row],[Last Name]])</f>
        <v>Idona Williams</v>
      </c>
      <c r="D62" s="4" t="str">
        <f>raw_data[[#This Row],[Phone]]</f>
        <v>(354) 142-5375</v>
      </c>
      <c r="E62" s="4" t="str">
        <f>MID(cleaned_data[[#This Row],[Phone]],FIND("(",cleaned_data[[#This Row],[Phone]])+1,3)</f>
        <v>354</v>
      </c>
      <c r="F62" s="4" t="str">
        <f>RIGHT(SUBSTITUTE(cleaned_data[[#This Row],[Phone]],"-",""),7)</f>
        <v>1425375</v>
      </c>
      <c r="G62" s="4" t="str">
        <f>SUBSTITUTE(SUBSTITUTE(SUBSTITUTE(cleaned_data[[#This Row],[Phone]],"(",""),")","")," ","")</f>
        <v>354142-5375</v>
      </c>
      <c r="H62" s="4" t="str">
        <f>raw_data[[#This Row],[Street Address]]</f>
        <v>853 Nunca Ave.</v>
      </c>
      <c r="I62" s="4" t="str">
        <f>TRIM(MID(cleaned_data[[#This Row],[Street Address]],FIND(" ",cleaned_data[[#This Row],[Street Address]])+1,LEN(cleaned_data[[#This Row],[Street Address]])))</f>
        <v>Nunca Ave.</v>
      </c>
      <c r="J62" s="15" t="str">
        <f>raw_data[[#This Row],[Zipcode]]</f>
        <v>35407</v>
      </c>
      <c r="K62" s="4" t="str">
        <f>cleaned_data[[#This Row],[Zipcode]]&amp;" - "&amp;cleaned_data[[#This Row],[Street Name]]</f>
        <v>35407 - Nunca Ave.</v>
      </c>
      <c r="L62" s="4" t="str">
        <f>LEFT(cleaned_data[[#This Row],[First Name]],3)&amp;LEFT(cleaned_data[[#This Row],[Last Name]],3)&amp;cleaned_data[[#This Row],[Area Code]]</f>
        <v>IdoWil354</v>
      </c>
      <c r="M62" s="4" t="str">
        <f>SUBSTITUTE(cleaned_data[[#This Row],[Street Address]],"St.","Street")</f>
        <v>853 Nunca Ave.</v>
      </c>
      <c r="N62" s="4" t="str">
        <f>LEFT(cleaned_data[[#This Row],[Street Address]],FIND(" ",cleaned_data[[#This Row],[Street Address]])-1)</f>
        <v>853</v>
      </c>
      <c r="O62" s="16">
        <f>raw_data[[#This Row],[Req Date]]</f>
        <v>41670</v>
      </c>
      <c r="P62" s="4">
        <f>YEAR(cleaned_data[[#This Row],[Req Date]])</f>
        <v>2014</v>
      </c>
      <c r="Q62" s="4">
        <f>MONTH(cleaned_data[[#This Row],[Req Date]])</f>
        <v>1</v>
      </c>
      <c r="R62" s="4">
        <f>DAY(cleaned_data[[#This Row],[Req Date]])</f>
        <v>31</v>
      </c>
    </row>
    <row r="63" spans="1:18" ht="15.6" x14ac:dyDescent="0.25">
      <c r="A63" s="4" t="str">
        <f>raw_data[[#This Row],[First Name]]</f>
        <v>Christine</v>
      </c>
      <c r="B63" s="4" t="str">
        <f>raw_data[[#This Row],[Last Name]]</f>
        <v>Rasmussen</v>
      </c>
      <c r="C63" s="4" t="str">
        <f>TRIM(cleaned_data[[#This Row],[First Name]]&amp; " "&amp;cleaned_data[[#This Row],[Last Name]])</f>
        <v>Christine Rasmussen</v>
      </c>
      <c r="D63" s="4" t="str">
        <f>raw_data[[#This Row],[Phone]]</f>
        <v>(813) 797-4600</v>
      </c>
      <c r="E63" s="4" t="str">
        <f>MID(cleaned_data[[#This Row],[Phone]],FIND("(",cleaned_data[[#This Row],[Phone]])+1,3)</f>
        <v>813</v>
      </c>
      <c r="F63" s="4" t="str">
        <f>RIGHT(SUBSTITUTE(cleaned_data[[#This Row],[Phone]],"-",""),7)</f>
        <v>7974600</v>
      </c>
      <c r="G63" s="4" t="str">
        <f>SUBSTITUTE(SUBSTITUTE(SUBSTITUTE(cleaned_data[[#This Row],[Phone]],"(",""),")","")," ","")</f>
        <v>813797-4600</v>
      </c>
      <c r="H63" s="4" t="str">
        <f>raw_data[[#This Row],[Street Address]]</f>
        <v>5766 Egestas St.</v>
      </c>
      <c r="I63" s="4" t="str">
        <f>TRIM(MID(cleaned_data[[#This Row],[Street Address]],FIND(" ",cleaned_data[[#This Row],[Street Address]])+1,LEN(cleaned_data[[#This Row],[Street Address]])))</f>
        <v>Egestas St.</v>
      </c>
      <c r="J63" s="15" t="str">
        <f>raw_data[[#This Row],[Zipcode]]</f>
        <v>35440</v>
      </c>
      <c r="K63" s="4" t="str">
        <f>cleaned_data[[#This Row],[Zipcode]]&amp;" - "&amp;cleaned_data[[#This Row],[Street Name]]</f>
        <v>35440 - Egestas St.</v>
      </c>
      <c r="L63" s="4" t="str">
        <f>LEFT(cleaned_data[[#This Row],[First Name]],3)&amp;LEFT(cleaned_data[[#This Row],[Last Name]],3)&amp;cleaned_data[[#This Row],[Area Code]]</f>
        <v>ChrRas813</v>
      </c>
      <c r="M63" s="4" t="str">
        <f>SUBSTITUTE(cleaned_data[[#This Row],[Street Address]],"St.","Street")</f>
        <v>5766 Egestas Street</v>
      </c>
      <c r="N63" s="4" t="str">
        <f>LEFT(cleaned_data[[#This Row],[Street Address]],FIND(" ",cleaned_data[[#This Row],[Street Address]])-1)</f>
        <v>5766</v>
      </c>
      <c r="O63" s="16">
        <f>raw_data[[#This Row],[Req Date]]</f>
        <v>41693</v>
      </c>
      <c r="P63" s="4">
        <f>YEAR(cleaned_data[[#This Row],[Req Date]])</f>
        <v>2014</v>
      </c>
      <c r="Q63" s="4">
        <f>MONTH(cleaned_data[[#This Row],[Req Date]])</f>
        <v>2</v>
      </c>
      <c r="R63" s="4">
        <f>DAY(cleaned_data[[#This Row],[Req Date]])</f>
        <v>23</v>
      </c>
    </row>
    <row r="64" spans="1:18" ht="15.6" x14ac:dyDescent="0.25">
      <c r="A64" s="4" t="str">
        <f>raw_data[[#This Row],[First Name]]</f>
        <v>Brenna</v>
      </c>
      <c r="B64" s="4" t="str">
        <f>raw_data[[#This Row],[Last Name]]</f>
        <v>Burgess</v>
      </c>
      <c r="C64" s="4" t="str">
        <f>TRIM(cleaned_data[[#This Row],[First Name]]&amp; " "&amp;cleaned_data[[#This Row],[Last Name]])</f>
        <v>Brenna Burgess</v>
      </c>
      <c r="D64" s="4" t="str">
        <f>raw_data[[#This Row],[Phone]]</f>
        <v>(309) 353-0911</v>
      </c>
      <c r="E64" s="4" t="str">
        <f>MID(cleaned_data[[#This Row],[Phone]],FIND("(",cleaned_data[[#This Row],[Phone]])+1,3)</f>
        <v>309</v>
      </c>
      <c r="F64" s="4" t="str">
        <f>RIGHT(SUBSTITUTE(cleaned_data[[#This Row],[Phone]],"-",""),7)</f>
        <v>3530911</v>
      </c>
      <c r="G64" s="4" t="str">
        <f>SUBSTITUTE(SUBSTITUTE(SUBSTITUTE(cleaned_data[[#This Row],[Phone]],"(",""),")","")," ","")</f>
        <v>309353-0911</v>
      </c>
      <c r="H64" s="4" t="str">
        <f>raw_data[[#This Row],[Street Address]]</f>
        <v>3969 Juniper Ave.</v>
      </c>
      <c r="I64" s="4" t="str">
        <f>TRIM(MID(cleaned_data[[#This Row],[Street Address]],FIND(" ",cleaned_data[[#This Row],[Street Address]])+1,LEN(cleaned_data[[#This Row],[Street Address]])))</f>
        <v>Juniper Ave.</v>
      </c>
      <c r="J64" s="15" t="str">
        <f>raw_data[[#This Row],[Zipcode]]</f>
        <v>41840</v>
      </c>
      <c r="K64" s="4" t="str">
        <f>cleaned_data[[#This Row],[Zipcode]]&amp;" - "&amp;cleaned_data[[#This Row],[Street Name]]</f>
        <v>41840 - Juniper Ave.</v>
      </c>
      <c r="L64" s="4" t="str">
        <f>LEFT(cleaned_data[[#This Row],[First Name]],3)&amp;LEFT(cleaned_data[[#This Row],[Last Name]],3)&amp;cleaned_data[[#This Row],[Area Code]]</f>
        <v>BreBur309</v>
      </c>
      <c r="M64" s="4" t="str">
        <f>SUBSTITUTE(cleaned_data[[#This Row],[Street Address]],"St.","Street")</f>
        <v>3969 Juniper Ave.</v>
      </c>
      <c r="N64" s="4" t="str">
        <f>LEFT(cleaned_data[[#This Row],[Street Address]],FIND(" ",cleaned_data[[#This Row],[Street Address]])-1)</f>
        <v>3969</v>
      </c>
      <c r="O64" s="16">
        <f>raw_data[[#This Row],[Req Date]]</f>
        <v>41619</v>
      </c>
      <c r="P64" s="4">
        <f>YEAR(cleaned_data[[#This Row],[Req Date]])</f>
        <v>2013</v>
      </c>
      <c r="Q64" s="4">
        <f>MONTH(cleaned_data[[#This Row],[Req Date]])</f>
        <v>12</v>
      </c>
      <c r="R64" s="4">
        <f>DAY(cleaned_data[[#This Row],[Req Date]])</f>
        <v>11</v>
      </c>
    </row>
    <row r="65" spans="1:18" ht="15.6" x14ac:dyDescent="0.25">
      <c r="A65" s="4" t="str">
        <f>raw_data[[#This Row],[First Name]]</f>
        <v>Brynn</v>
      </c>
      <c r="B65" s="4" t="str">
        <f>raw_data[[#This Row],[Last Name]]</f>
        <v>Hinton</v>
      </c>
      <c r="C65" s="4" t="str">
        <f>TRIM(cleaned_data[[#This Row],[First Name]]&amp; " "&amp;cleaned_data[[#This Row],[Last Name]])</f>
        <v>Brynn Hinton</v>
      </c>
      <c r="D65" s="4" t="str">
        <f>raw_data[[#This Row],[Phone]]</f>
        <v>(828) 642-4654</v>
      </c>
      <c r="E65" s="4" t="str">
        <f>MID(cleaned_data[[#This Row],[Phone]],FIND("(",cleaned_data[[#This Row],[Phone]])+1,3)</f>
        <v>828</v>
      </c>
      <c r="F65" s="4" t="str">
        <f>RIGHT(SUBSTITUTE(cleaned_data[[#This Row],[Phone]],"-",""),7)</f>
        <v>6424654</v>
      </c>
      <c r="G65" s="4" t="str">
        <f>SUBSTITUTE(SUBSTITUTE(SUBSTITUTE(cleaned_data[[#This Row],[Phone]],"(",""),")","")," ","")</f>
        <v>828642-4654</v>
      </c>
      <c r="H65" s="4" t="str">
        <f>raw_data[[#This Row],[Street Address]]</f>
        <v>8239 Bandit Ave.</v>
      </c>
      <c r="I65" s="4" t="str">
        <f>TRIM(MID(cleaned_data[[#This Row],[Street Address]],FIND(" ",cleaned_data[[#This Row],[Street Address]])+1,LEN(cleaned_data[[#This Row],[Street Address]])))</f>
        <v>Bandit Ave.</v>
      </c>
      <c r="J65" s="15" t="str">
        <f>raw_data[[#This Row],[Zipcode]]</f>
        <v>41843</v>
      </c>
      <c r="K65" s="4" t="str">
        <f>cleaned_data[[#This Row],[Zipcode]]&amp;" - "&amp;cleaned_data[[#This Row],[Street Name]]</f>
        <v>41843 - Bandit Ave.</v>
      </c>
      <c r="L65" s="4" t="str">
        <f>LEFT(cleaned_data[[#This Row],[First Name]],3)&amp;LEFT(cleaned_data[[#This Row],[Last Name]],3)&amp;cleaned_data[[#This Row],[Area Code]]</f>
        <v>BryHin828</v>
      </c>
      <c r="M65" s="4" t="str">
        <f>SUBSTITUTE(cleaned_data[[#This Row],[Street Address]],"St.","Street")</f>
        <v>8239 Bandit Ave.</v>
      </c>
      <c r="N65" s="4" t="str">
        <f>LEFT(cleaned_data[[#This Row],[Street Address]],FIND(" ",cleaned_data[[#This Row],[Street Address]])-1)</f>
        <v>8239</v>
      </c>
      <c r="O65" s="16">
        <f>raw_data[[#This Row],[Req Date]]</f>
        <v>41684</v>
      </c>
      <c r="P65" s="4">
        <f>YEAR(cleaned_data[[#This Row],[Req Date]])</f>
        <v>2014</v>
      </c>
      <c r="Q65" s="4">
        <f>MONTH(cleaned_data[[#This Row],[Req Date]])</f>
        <v>2</v>
      </c>
      <c r="R65" s="4">
        <f>DAY(cleaned_data[[#This Row],[Req Date]])</f>
        <v>14</v>
      </c>
    </row>
    <row r="66" spans="1:18" ht="15.6" x14ac:dyDescent="0.25">
      <c r="A66" s="4" t="str">
        <f>raw_data[[#This Row],[First Name]]</f>
        <v>Ayanna</v>
      </c>
      <c r="B66" s="4" t="str">
        <f>raw_data[[#This Row],[Last Name]]</f>
        <v>Williamson</v>
      </c>
      <c r="C66" s="4" t="str">
        <f>TRIM(cleaned_data[[#This Row],[First Name]]&amp; " "&amp;cleaned_data[[#This Row],[Last Name]])</f>
        <v>Ayanna Williamson</v>
      </c>
      <c r="D66" s="4" t="str">
        <f>raw_data[[#This Row],[Phone]]</f>
        <v>(867) 677-7450</v>
      </c>
      <c r="E66" s="4" t="str">
        <f>MID(cleaned_data[[#This Row],[Phone]],FIND("(",cleaned_data[[#This Row],[Phone]])+1,3)</f>
        <v>867</v>
      </c>
      <c r="F66" s="4" t="str">
        <f>RIGHT(SUBSTITUTE(cleaned_data[[#This Row],[Phone]],"-",""),7)</f>
        <v>6777450</v>
      </c>
      <c r="G66" s="4" t="str">
        <f>SUBSTITUTE(SUBSTITUTE(SUBSTITUTE(cleaned_data[[#This Row],[Phone]],"(",""),")","")," ","")</f>
        <v>867677-7450</v>
      </c>
      <c r="H66" s="4" t="str">
        <f>raw_data[[#This Row],[Street Address]]</f>
        <v>6016 Consectetuer St.</v>
      </c>
      <c r="I66" s="4" t="str">
        <f>TRIM(MID(cleaned_data[[#This Row],[Street Address]],FIND(" ",cleaned_data[[#This Row],[Street Address]])+1,LEN(cleaned_data[[#This Row],[Street Address]])))</f>
        <v>Consectetuer St.</v>
      </c>
      <c r="J66" s="15" t="str">
        <f>raw_data[[#This Row],[Zipcode]]</f>
        <v>41844</v>
      </c>
      <c r="K66" s="4" t="str">
        <f>cleaned_data[[#This Row],[Zipcode]]&amp;" - "&amp;cleaned_data[[#This Row],[Street Name]]</f>
        <v>41844 - Consectetuer St.</v>
      </c>
      <c r="L66" s="4" t="str">
        <f>LEFT(cleaned_data[[#This Row],[First Name]],3)&amp;LEFT(cleaned_data[[#This Row],[Last Name]],3)&amp;cleaned_data[[#This Row],[Area Code]]</f>
        <v>AyaWil867</v>
      </c>
      <c r="M66" s="4" t="str">
        <f>SUBSTITUTE(cleaned_data[[#This Row],[Street Address]],"St.","Street")</f>
        <v>6016 Consectetuer Street</v>
      </c>
      <c r="N66" s="4" t="str">
        <f>LEFT(cleaned_data[[#This Row],[Street Address]],FIND(" ",cleaned_data[[#This Row],[Street Address]])-1)</f>
        <v>6016</v>
      </c>
      <c r="O66" s="16">
        <f>raw_data[[#This Row],[Req Date]]</f>
        <v>41652</v>
      </c>
      <c r="P66" s="4">
        <f>YEAR(cleaned_data[[#This Row],[Req Date]])</f>
        <v>2014</v>
      </c>
      <c r="Q66" s="4">
        <f>MONTH(cleaned_data[[#This Row],[Req Date]])</f>
        <v>1</v>
      </c>
      <c r="R66" s="4">
        <f>DAY(cleaned_data[[#This Row],[Req Date]])</f>
        <v>13</v>
      </c>
    </row>
    <row r="67" spans="1:18" ht="15.6" x14ac:dyDescent="0.25">
      <c r="A67" s="4" t="str">
        <f>raw_data[[#This Row],[First Name]]</f>
        <v>Brent</v>
      </c>
      <c r="B67" s="4" t="str">
        <f>raw_data[[#This Row],[Last Name]]</f>
        <v>Black</v>
      </c>
      <c r="C67" s="4" t="str">
        <f>TRIM(cleaned_data[[#This Row],[First Name]]&amp; " "&amp;cleaned_data[[#This Row],[Last Name]])</f>
        <v>Brent Black</v>
      </c>
      <c r="D67" s="4" t="str">
        <f>raw_data[[#This Row],[Phone]]</f>
        <v>(167) 468-9065</v>
      </c>
      <c r="E67" s="4" t="str">
        <f>MID(cleaned_data[[#This Row],[Phone]],FIND("(",cleaned_data[[#This Row],[Phone]])+1,3)</f>
        <v>167</v>
      </c>
      <c r="F67" s="4" t="str">
        <f>RIGHT(SUBSTITUTE(cleaned_data[[#This Row],[Phone]],"-",""),7)</f>
        <v>4689065</v>
      </c>
      <c r="G67" s="4" t="str">
        <f>SUBSTITUTE(SUBSTITUTE(SUBSTITUTE(cleaned_data[[#This Row],[Phone]],"(",""),")","")," ","")</f>
        <v>167468-9065</v>
      </c>
      <c r="H67" s="4" t="str">
        <f>raw_data[[#This Row],[Street Address]]</f>
        <v>353 Risus Street</v>
      </c>
      <c r="I67" s="4" t="str">
        <f>TRIM(MID(cleaned_data[[#This Row],[Street Address]],FIND(" ",cleaned_data[[#This Row],[Street Address]])+1,LEN(cleaned_data[[#This Row],[Street Address]])))</f>
        <v>Risus Street</v>
      </c>
      <c r="J67" s="15" t="str">
        <f>raw_data[[#This Row],[Zipcode]]</f>
        <v>47993</v>
      </c>
      <c r="K67" s="4" t="str">
        <f>cleaned_data[[#This Row],[Zipcode]]&amp;" - "&amp;cleaned_data[[#This Row],[Street Name]]</f>
        <v>47993 - Risus Street</v>
      </c>
      <c r="L67" s="4" t="str">
        <f>LEFT(cleaned_data[[#This Row],[First Name]],3)&amp;LEFT(cleaned_data[[#This Row],[Last Name]],3)&amp;cleaned_data[[#This Row],[Area Code]]</f>
        <v>BreBla167</v>
      </c>
      <c r="M67" s="4" t="str">
        <f>SUBSTITUTE(cleaned_data[[#This Row],[Street Address]],"St.","Street")</f>
        <v>353 Risus Street</v>
      </c>
      <c r="N67" s="4" t="str">
        <f>LEFT(cleaned_data[[#This Row],[Street Address]],FIND(" ",cleaned_data[[#This Row],[Street Address]])-1)</f>
        <v>353</v>
      </c>
      <c r="O67" s="16">
        <f>raw_data[[#This Row],[Req Date]]</f>
        <v>41612</v>
      </c>
      <c r="P67" s="4">
        <f>YEAR(cleaned_data[[#This Row],[Req Date]])</f>
        <v>2013</v>
      </c>
      <c r="Q67" s="4">
        <f>MONTH(cleaned_data[[#This Row],[Req Date]])</f>
        <v>12</v>
      </c>
      <c r="R67" s="4">
        <f>DAY(cleaned_data[[#This Row],[Req Date]])</f>
        <v>4</v>
      </c>
    </row>
    <row r="68" spans="1:18" ht="15.6" x14ac:dyDescent="0.25">
      <c r="A68" s="4" t="str">
        <f>raw_data[[#This Row],[First Name]]</f>
        <v>Athena</v>
      </c>
      <c r="B68" s="4" t="str">
        <f>raw_data[[#This Row],[Last Name]]</f>
        <v>Buckley</v>
      </c>
      <c r="C68" s="4" t="str">
        <f>TRIM(cleaned_data[[#This Row],[First Name]]&amp; " "&amp;cleaned_data[[#This Row],[Last Name]])</f>
        <v>Athena Buckley</v>
      </c>
      <c r="D68" s="4" t="str">
        <f>raw_data[[#This Row],[Phone]]</f>
        <v>(788) 470-9516</v>
      </c>
      <c r="E68" s="4" t="str">
        <f>MID(cleaned_data[[#This Row],[Phone]],FIND("(",cleaned_data[[#This Row],[Phone]])+1,3)</f>
        <v>788</v>
      </c>
      <c r="F68" s="4" t="str">
        <f>RIGHT(SUBSTITUTE(cleaned_data[[#This Row],[Phone]],"-",""),7)</f>
        <v>4709516</v>
      </c>
      <c r="G68" s="4" t="str">
        <f>SUBSTITUTE(SUBSTITUTE(SUBSTITUTE(cleaned_data[[#This Row],[Phone]],"(",""),")","")," ","")</f>
        <v>788470-9516</v>
      </c>
      <c r="H68" s="4" t="str">
        <f>raw_data[[#This Row],[Street Address]]</f>
        <v>4650 Alternate Way</v>
      </c>
      <c r="I68" s="4" t="str">
        <f>TRIM(MID(cleaned_data[[#This Row],[Street Address]],FIND(" ",cleaned_data[[#This Row],[Street Address]])+1,LEN(cleaned_data[[#This Row],[Street Address]])))</f>
        <v>Alternate Way</v>
      </c>
      <c r="J68" s="15" t="str">
        <f>raw_data[[#This Row],[Zipcode]]</f>
        <v>47994</v>
      </c>
      <c r="K68" s="4" t="str">
        <f>cleaned_data[[#This Row],[Zipcode]]&amp;" - "&amp;cleaned_data[[#This Row],[Street Name]]</f>
        <v>47994 - Alternate Way</v>
      </c>
      <c r="L68" s="4" t="str">
        <f>LEFT(cleaned_data[[#This Row],[First Name]],3)&amp;LEFT(cleaned_data[[#This Row],[Last Name]],3)&amp;cleaned_data[[#This Row],[Area Code]]</f>
        <v>AthBuc788</v>
      </c>
      <c r="M68" s="4" t="str">
        <f>SUBSTITUTE(cleaned_data[[#This Row],[Street Address]],"St.","Street")</f>
        <v>4650 Alternate Way</v>
      </c>
      <c r="N68" s="4" t="str">
        <f>LEFT(cleaned_data[[#This Row],[Street Address]],FIND(" ",cleaned_data[[#This Row],[Street Address]])-1)</f>
        <v>4650</v>
      </c>
      <c r="O68" s="16">
        <f>raw_data[[#This Row],[Req Date]]</f>
        <v>41640</v>
      </c>
      <c r="P68" s="4">
        <f>YEAR(cleaned_data[[#This Row],[Req Date]])</f>
        <v>2014</v>
      </c>
      <c r="Q68" s="4">
        <f>MONTH(cleaned_data[[#This Row],[Req Date]])</f>
        <v>1</v>
      </c>
      <c r="R68" s="4">
        <f>DAY(cleaned_data[[#This Row],[Req Date]])</f>
        <v>1</v>
      </c>
    </row>
    <row r="69" spans="1:18" ht="15.6" x14ac:dyDescent="0.25">
      <c r="A69" s="4" t="str">
        <f>raw_data[[#This Row],[First Name]]</f>
        <v>Mary</v>
      </c>
      <c r="B69" s="4" t="str">
        <f>raw_data[[#This Row],[Last Name]]</f>
        <v>Wilkerson</v>
      </c>
      <c r="C69" s="4" t="str">
        <f>TRIM(cleaned_data[[#This Row],[First Name]]&amp; " "&amp;cleaned_data[[#This Row],[Last Name]])</f>
        <v>Mary Wilkerson</v>
      </c>
      <c r="D69" s="4" t="str">
        <f>raw_data[[#This Row],[Phone]]</f>
        <v>(160) 186-8736</v>
      </c>
      <c r="E69" s="4" t="str">
        <f>MID(cleaned_data[[#This Row],[Phone]],FIND("(",cleaned_data[[#This Row],[Phone]])+1,3)</f>
        <v>160</v>
      </c>
      <c r="F69" s="4" t="str">
        <f>RIGHT(SUBSTITUTE(cleaned_data[[#This Row],[Phone]],"-",""),7)</f>
        <v>1868736</v>
      </c>
      <c r="G69" s="4" t="str">
        <f>SUBSTITUTE(SUBSTITUTE(SUBSTITUTE(cleaned_data[[#This Row],[Phone]],"(",""),")","")," ","")</f>
        <v>160186-8736</v>
      </c>
      <c r="H69" s="4" t="str">
        <f>raw_data[[#This Row],[Street Address]]</f>
        <v>6586 Facile Ave.</v>
      </c>
      <c r="I69" s="4" t="str">
        <f>TRIM(MID(cleaned_data[[#This Row],[Street Address]],FIND(" ",cleaned_data[[#This Row],[Street Address]])+1,LEN(cleaned_data[[#This Row],[Street Address]])))</f>
        <v>Facile Ave.</v>
      </c>
      <c r="J69" s="15" t="str">
        <f>raw_data[[#This Row],[Zipcode]]</f>
        <v>47995</v>
      </c>
      <c r="K69" s="4" t="str">
        <f>cleaned_data[[#This Row],[Zipcode]]&amp;" - "&amp;cleaned_data[[#This Row],[Street Name]]</f>
        <v>47995 - Facile Ave.</v>
      </c>
      <c r="L69" s="4" t="str">
        <f>LEFT(cleaned_data[[#This Row],[First Name]],3)&amp;LEFT(cleaned_data[[#This Row],[Last Name]],3)&amp;cleaned_data[[#This Row],[Area Code]]</f>
        <v>MarWil160</v>
      </c>
      <c r="M69" s="4" t="str">
        <f>SUBSTITUTE(cleaned_data[[#This Row],[Street Address]],"St.","Street")</f>
        <v>6586 Facile Ave.</v>
      </c>
      <c r="N69" s="4" t="str">
        <f>LEFT(cleaned_data[[#This Row],[Street Address]],FIND(" ",cleaned_data[[#This Row],[Street Address]])-1)</f>
        <v>6586</v>
      </c>
      <c r="O69" s="16">
        <f>raw_data[[#This Row],[Req Date]]</f>
        <v>41639</v>
      </c>
      <c r="P69" s="4">
        <f>YEAR(cleaned_data[[#This Row],[Req Date]])</f>
        <v>2013</v>
      </c>
      <c r="Q69" s="4">
        <f>MONTH(cleaned_data[[#This Row],[Req Date]])</f>
        <v>12</v>
      </c>
      <c r="R69" s="4">
        <f>DAY(cleaned_data[[#This Row],[Req Date]])</f>
        <v>31</v>
      </c>
    </row>
    <row r="70" spans="1:18" ht="15.6" x14ac:dyDescent="0.25">
      <c r="A70" s="4" t="str">
        <f>raw_data[[#This Row],[First Name]]</f>
        <v>Noble</v>
      </c>
      <c r="B70" s="4" t="str">
        <f>raw_data[[#This Row],[Last Name]]</f>
        <v>Eaton</v>
      </c>
      <c r="C70" s="4" t="str">
        <f>TRIM(cleaned_data[[#This Row],[First Name]]&amp; " "&amp;cleaned_data[[#This Row],[Last Name]])</f>
        <v>Noble Eaton</v>
      </c>
      <c r="D70" s="4" t="str">
        <f>raw_data[[#This Row],[Phone]]</f>
        <v>(786) 879-3690</v>
      </c>
      <c r="E70" s="4" t="str">
        <f>MID(cleaned_data[[#This Row],[Phone]],FIND("(",cleaned_data[[#This Row],[Phone]])+1,3)</f>
        <v>786</v>
      </c>
      <c r="F70" s="4" t="str">
        <f>RIGHT(SUBSTITUTE(cleaned_data[[#This Row],[Phone]],"-",""),7)</f>
        <v>8793690</v>
      </c>
      <c r="G70" s="4" t="str">
        <f>SUBSTITUTE(SUBSTITUTE(SUBSTITUTE(cleaned_data[[#This Row],[Phone]],"(",""),")","")," ","")</f>
        <v>786879-3690</v>
      </c>
      <c r="H70" s="4" t="str">
        <f>raw_data[[#This Row],[Street Address]]</f>
        <v>2759 Present St.</v>
      </c>
      <c r="I70" s="4" t="str">
        <f>TRIM(MID(cleaned_data[[#This Row],[Street Address]],FIND(" ",cleaned_data[[#This Row],[Street Address]])+1,LEN(cleaned_data[[#This Row],[Street Address]])))</f>
        <v>Present St.</v>
      </c>
      <c r="J70" s="15" t="str">
        <f>raw_data[[#This Row],[Zipcode]]</f>
        <v>47996</v>
      </c>
      <c r="K70" s="4" t="str">
        <f>cleaned_data[[#This Row],[Zipcode]]&amp;" - "&amp;cleaned_data[[#This Row],[Street Name]]</f>
        <v>47996 - Present St.</v>
      </c>
      <c r="L70" s="4" t="str">
        <f>LEFT(cleaned_data[[#This Row],[First Name]],3)&amp;LEFT(cleaned_data[[#This Row],[Last Name]],3)&amp;cleaned_data[[#This Row],[Area Code]]</f>
        <v>NobEat786</v>
      </c>
      <c r="M70" s="4" t="str">
        <f>SUBSTITUTE(cleaned_data[[#This Row],[Street Address]],"St.","Street")</f>
        <v>2759 Present Street</v>
      </c>
      <c r="N70" s="4" t="str">
        <f>LEFT(cleaned_data[[#This Row],[Street Address]],FIND(" ",cleaned_data[[#This Row],[Street Address]])-1)</f>
        <v>2759</v>
      </c>
      <c r="O70" s="16">
        <f>raw_data[[#This Row],[Req Date]]</f>
        <v>41675</v>
      </c>
      <c r="P70" s="4">
        <f>YEAR(cleaned_data[[#This Row],[Req Date]])</f>
        <v>2014</v>
      </c>
      <c r="Q70" s="4">
        <f>MONTH(cleaned_data[[#This Row],[Req Date]])</f>
        <v>2</v>
      </c>
      <c r="R70" s="4">
        <f>DAY(cleaned_data[[#This Row],[Req Date]])</f>
        <v>5</v>
      </c>
    </row>
    <row r="71" spans="1:18" ht="15.6" x14ac:dyDescent="0.25">
      <c r="A71" s="4" t="str">
        <f>raw_data[[#This Row],[First Name]]</f>
        <v>Lucius</v>
      </c>
      <c r="B71" s="4" t="str">
        <f>raw_data[[#This Row],[Last Name]]</f>
        <v>Mcneil</v>
      </c>
      <c r="C71" s="4" t="str">
        <f>TRIM(cleaned_data[[#This Row],[First Name]]&amp; " "&amp;cleaned_data[[#This Row],[Last Name]])</f>
        <v>Lucius Mcneil</v>
      </c>
      <c r="D71" s="4" t="str">
        <f>raw_data[[#This Row],[Phone]]</f>
        <v>(975) 387-7055</v>
      </c>
      <c r="E71" s="4" t="str">
        <f>MID(cleaned_data[[#This Row],[Phone]],FIND("(",cleaned_data[[#This Row],[Phone]])+1,3)</f>
        <v>975</v>
      </c>
      <c r="F71" s="4" t="str">
        <f>RIGHT(SUBSTITUTE(cleaned_data[[#This Row],[Phone]],"-",""),7)</f>
        <v>3877055</v>
      </c>
      <c r="G71" s="4" t="str">
        <f>SUBSTITUTE(SUBSTITUTE(SUBSTITUTE(cleaned_data[[#This Row],[Phone]],"(",""),")","")," ","")</f>
        <v>975387-7055</v>
      </c>
      <c r="H71" s="4" t="str">
        <f>raw_data[[#This Row],[Street Address]]</f>
        <v>1366 Accumsan St.</v>
      </c>
      <c r="I71" s="4" t="str">
        <f>TRIM(MID(cleaned_data[[#This Row],[Street Address]],FIND(" ",cleaned_data[[#This Row],[Street Address]])+1,LEN(cleaned_data[[#This Row],[Street Address]])))</f>
        <v>Accumsan St.</v>
      </c>
      <c r="J71" s="15" t="str">
        <f>raw_data[[#This Row],[Zipcode]]</f>
        <v>47997</v>
      </c>
      <c r="K71" s="4" t="str">
        <f>cleaned_data[[#This Row],[Zipcode]]&amp;" - "&amp;cleaned_data[[#This Row],[Street Name]]</f>
        <v>47997 - Accumsan St.</v>
      </c>
      <c r="L71" s="4" t="str">
        <f>LEFT(cleaned_data[[#This Row],[First Name]],3)&amp;LEFT(cleaned_data[[#This Row],[Last Name]],3)&amp;cleaned_data[[#This Row],[Area Code]]</f>
        <v>LucMcn975</v>
      </c>
      <c r="M71" s="4" t="str">
        <f>SUBSTITUTE(cleaned_data[[#This Row],[Street Address]],"St.","Street")</f>
        <v>1366 Accumsan Street</v>
      </c>
      <c r="N71" s="4" t="str">
        <f>LEFT(cleaned_data[[#This Row],[Street Address]],FIND(" ",cleaned_data[[#This Row],[Street Address]])-1)</f>
        <v>1366</v>
      </c>
      <c r="O71" s="16">
        <f>raw_data[[#This Row],[Req Date]]</f>
        <v>41699</v>
      </c>
      <c r="P71" s="4">
        <f>YEAR(cleaned_data[[#This Row],[Req Date]])</f>
        <v>2014</v>
      </c>
      <c r="Q71" s="4">
        <f>MONTH(cleaned_data[[#This Row],[Req Date]])</f>
        <v>3</v>
      </c>
      <c r="R71" s="4">
        <f>DAY(cleaned_data[[#This Row],[Req Date]])</f>
        <v>1</v>
      </c>
    </row>
    <row r="72" spans="1:18" ht="15.6" x14ac:dyDescent="0.25">
      <c r="A72" s="4" t="str">
        <f>raw_data[[#This Row],[First Name]]</f>
        <v>Deborah</v>
      </c>
      <c r="B72" s="4" t="str">
        <f>raw_data[[#This Row],[Last Name]]</f>
        <v>Berry</v>
      </c>
      <c r="C72" s="4" t="str">
        <f>TRIM(cleaned_data[[#This Row],[First Name]]&amp; " "&amp;cleaned_data[[#This Row],[Last Name]])</f>
        <v>Deborah Berry</v>
      </c>
      <c r="D72" s="4" t="str">
        <f>raw_data[[#This Row],[Phone]]</f>
        <v>(927) 540-3200</v>
      </c>
      <c r="E72" s="4" t="str">
        <f>MID(cleaned_data[[#This Row],[Phone]],FIND("(",cleaned_data[[#This Row],[Phone]])+1,3)</f>
        <v>927</v>
      </c>
      <c r="F72" s="4" t="str">
        <f>RIGHT(SUBSTITUTE(cleaned_data[[#This Row],[Phone]],"-",""),7)</f>
        <v>5403200</v>
      </c>
      <c r="G72" s="4" t="str">
        <f>SUBSTITUTE(SUBSTITUTE(SUBSTITUTE(cleaned_data[[#This Row],[Phone]],"(",""),")","")," ","")</f>
        <v>927540-3200</v>
      </c>
      <c r="H72" s="4" t="str">
        <f>raw_data[[#This Row],[Street Address]]</f>
        <v>5604 Luctus Street</v>
      </c>
      <c r="I72" s="4" t="str">
        <f>TRIM(MID(cleaned_data[[#This Row],[Street Address]],FIND(" ",cleaned_data[[#This Row],[Street Address]])+1,LEN(cleaned_data[[#This Row],[Street Address]])))</f>
        <v>Luctus Street</v>
      </c>
      <c r="J72" s="15" t="str">
        <f>raw_data[[#This Row],[Zipcode]]</f>
        <v>48001</v>
      </c>
      <c r="K72" s="4" t="str">
        <f>cleaned_data[[#This Row],[Zipcode]]&amp;" - "&amp;cleaned_data[[#This Row],[Street Name]]</f>
        <v>48001 - Luctus Street</v>
      </c>
      <c r="L72" s="4" t="str">
        <f>LEFT(cleaned_data[[#This Row],[First Name]],3)&amp;LEFT(cleaned_data[[#This Row],[Last Name]],3)&amp;cleaned_data[[#This Row],[Area Code]]</f>
        <v>DebBer927</v>
      </c>
      <c r="M72" s="4" t="str">
        <f>SUBSTITUTE(cleaned_data[[#This Row],[Street Address]],"St.","Street")</f>
        <v>5604 Luctus Street</v>
      </c>
      <c r="N72" s="4" t="str">
        <f>LEFT(cleaned_data[[#This Row],[Street Address]],FIND(" ",cleaned_data[[#This Row],[Street Address]])-1)</f>
        <v>5604</v>
      </c>
      <c r="O72" s="16">
        <f>raw_data[[#This Row],[Req Date]]</f>
        <v>41681</v>
      </c>
      <c r="P72" s="4">
        <f>YEAR(cleaned_data[[#This Row],[Req Date]])</f>
        <v>2014</v>
      </c>
      <c r="Q72" s="4">
        <f>MONTH(cleaned_data[[#This Row],[Req Date]])</f>
        <v>2</v>
      </c>
      <c r="R72" s="4">
        <f>DAY(cleaned_data[[#This Row],[Req Date]])</f>
        <v>11</v>
      </c>
    </row>
    <row r="73" spans="1:18" ht="15.6" x14ac:dyDescent="0.25">
      <c r="A73" s="4" t="str">
        <f>raw_data[[#This Row],[First Name]]</f>
        <v>Aladdin</v>
      </c>
      <c r="B73" s="4" t="str">
        <f>raw_data[[#This Row],[Last Name]]</f>
        <v>Bell</v>
      </c>
      <c r="C73" s="4" t="str">
        <f>TRIM(cleaned_data[[#This Row],[First Name]]&amp; " "&amp;cleaned_data[[#This Row],[Last Name]])</f>
        <v>Aladdin Bell</v>
      </c>
      <c r="D73" s="4" t="str">
        <f>raw_data[[#This Row],[Phone]]</f>
        <v>(458) 527-5885</v>
      </c>
      <c r="E73" s="4" t="str">
        <f>MID(cleaned_data[[#This Row],[Phone]],FIND("(",cleaned_data[[#This Row],[Phone]])+1,3)</f>
        <v>458</v>
      </c>
      <c r="F73" s="4" t="str">
        <f>RIGHT(SUBSTITUTE(cleaned_data[[#This Row],[Phone]],"-",""),7)</f>
        <v>5275885</v>
      </c>
      <c r="G73" s="4" t="str">
        <f>SUBSTITUTE(SUBSTITUTE(SUBSTITUTE(cleaned_data[[#This Row],[Phone]],"(",""),")","")," ","")</f>
        <v>458527-5885</v>
      </c>
      <c r="H73" s="4" t="str">
        <f>raw_data[[#This Row],[Street Address]]</f>
        <v>5357 Nonummy Rd.</v>
      </c>
      <c r="I73" s="4" t="str">
        <f>TRIM(MID(cleaned_data[[#This Row],[Street Address]],FIND(" ",cleaned_data[[#This Row],[Street Address]])+1,LEN(cleaned_data[[#This Row],[Street Address]])))</f>
        <v>Nonummy Rd.</v>
      </c>
      <c r="J73" s="15" t="str">
        <f>raw_data[[#This Row],[Zipcode]]</f>
        <v>53818</v>
      </c>
      <c r="K73" s="4" t="str">
        <f>cleaned_data[[#This Row],[Zipcode]]&amp;" - "&amp;cleaned_data[[#This Row],[Street Name]]</f>
        <v>53818 - Nonummy Rd.</v>
      </c>
      <c r="L73" s="4" t="str">
        <f>LEFT(cleaned_data[[#This Row],[First Name]],3)&amp;LEFT(cleaned_data[[#This Row],[Last Name]],3)&amp;cleaned_data[[#This Row],[Area Code]]</f>
        <v>AlaBel458</v>
      </c>
      <c r="M73" s="4" t="str">
        <f>SUBSTITUTE(cleaned_data[[#This Row],[Street Address]],"St.","Street")</f>
        <v>5357 Nonummy Rd.</v>
      </c>
      <c r="N73" s="4" t="str">
        <f>LEFT(cleaned_data[[#This Row],[Street Address]],FIND(" ",cleaned_data[[#This Row],[Street Address]])-1)</f>
        <v>5357</v>
      </c>
      <c r="O73" s="16">
        <f>raw_data[[#This Row],[Req Date]]</f>
        <v>41623</v>
      </c>
      <c r="P73" s="4">
        <f>YEAR(cleaned_data[[#This Row],[Req Date]])</f>
        <v>2013</v>
      </c>
      <c r="Q73" s="4">
        <f>MONTH(cleaned_data[[#This Row],[Req Date]])</f>
        <v>12</v>
      </c>
      <c r="R73" s="4">
        <f>DAY(cleaned_data[[#This Row],[Req Date]])</f>
        <v>15</v>
      </c>
    </row>
    <row r="74" spans="1:18" ht="15.6" x14ac:dyDescent="0.25">
      <c r="A74" s="4" t="str">
        <f>raw_data[[#This Row],[First Name]]</f>
        <v>Ethan</v>
      </c>
      <c r="B74" s="4" t="str">
        <f>raw_data[[#This Row],[Last Name]]</f>
        <v>Robinson</v>
      </c>
      <c r="C74" s="4" t="str">
        <f>TRIM(cleaned_data[[#This Row],[First Name]]&amp; " "&amp;cleaned_data[[#This Row],[Last Name]])</f>
        <v>Ethan Robinson</v>
      </c>
      <c r="D74" s="4" t="str">
        <f>raw_data[[#This Row],[Phone]]</f>
        <v>(113) 262-4588</v>
      </c>
      <c r="E74" s="4" t="str">
        <f>MID(cleaned_data[[#This Row],[Phone]],FIND("(",cleaned_data[[#This Row],[Phone]])+1,3)</f>
        <v>113</v>
      </c>
      <c r="F74" s="4" t="str">
        <f>RIGHT(SUBSTITUTE(cleaned_data[[#This Row],[Phone]],"-",""),7)</f>
        <v>2624588</v>
      </c>
      <c r="G74" s="4" t="str">
        <f>SUBSTITUTE(SUBSTITUTE(SUBSTITUTE(cleaned_data[[#This Row],[Phone]],"(",""),")","")," ","")</f>
        <v>113262-4588</v>
      </c>
      <c r="H74" s="4" t="str">
        <f>raw_data[[#This Row],[Street Address]]</f>
        <v>3475 Netus Rd.</v>
      </c>
      <c r="I74" s="4" t="str">
        <f>TRIM(MID(cleaned_data[[#This Row],[Street Address]],FIND(" ",cleaned_data[[#This Row],[Street Address]])+1,LEN(cleaned_data[[#This Row],[Street Address]])))</f>
        <v>Netus Rd.</v>
      </c>
      <c r="J74" s="15" t="str">
        <f>raw_data[[#This Row],[Zipcode]]</f>
        <v>53820</v>
      </c>
      <c r="K74" s="4" t="str">
        <f>cleaned_data[[#This Row],[Zipcode]]&amp;" - "&amp;cleaned_data[[#This Row],[Street Name]]</f>
        <v>53820 - Netus Rd.</v>
      </c>
      <c r="L74" s="4" t="str">
        <f>LEFT(cleaned_data[[#This Row],[First Name]],3)&amp;LEFT(cleaned_data[[#This Row],[Last Name]],3)&amp;cleaned_data[[#This Row],[Area Code]]</f>
        <v>EthRob113</v>
      </c>
      <c r="M74" s="4" t="str">
        <f>SUBSTITUTE(cleaned_data[[#This Row],[Street Address]],"St.","Street")</f>
        <v>3475 Netus Rd.</v>
      </c>
      <c r="N74" s="4" t="str">
        <f>LEFT(cleaned_data[[#This Row],[Street Address]],FIND(" ",cleaned_data[[#This Row],[Street Address]])-1)</f>
        <v>3475</v>
      </c>
      <c r="O74" s="16">
        <f>raw_data[[#This Row],[Req Date]]</f>
        <v>41611</v>
      </c>
      <c r="P74" s="4">
        <f>YEAR(cleaned_data[[#This Row],[Req Date]])</f>
        <v>2013</v>
      </c>
      <c r="Q74" s="4">
        <f>MONTH(cleaned_data[[#This Row],[Req Date]])</f>
        <v>12</v>
      </c>
      <c r="R74" s="4">
        <f>DAY(cleaned_data[[#This Row],[Req Date]])</f>
        <v>3</v>
      </c>
    </row>
    <row r="75" spans="1:18" ht="15.6" x14ac:dyDescent="0.25">
      <c r="A75" s="4" t="str">
        <f>raw_data[[#This Row],[First Name]]</f>
        <v>Cecilia</v>
      </c>
      <c r="B75" s="4" t="str">
        <f>raw_data[[#This Row],[Last Name]]</f>
        <v>Cox</v>
      </c>
      <c r="C75" s="4" t="str">
        <f>TRIM(cleaned_data[[#This Row],[First Name]]&amp; " "&amp;cleaned_data[[#This Row],[Last Name]])</f>
        <v>Cecilia Cox</v>
      </c>
      <c r="D75" s="4" t="str">
        <f>raw_data[[#This Row],[Phone]]</f>
        <v>(665) 401-4325</v>
      </c>
      <c r="E75" s="4" t="str">
        <f>MID(cleaned_data[[#This Row],[Phone]],FIND("(",cleaned_data[[#This Row],[Phone]])+1,3)</f>
        <v>665</v>
      </c>
      <c r="F75" s="4" t="str">
        <f>RIGHT(SUBSTITUTE(cleaned_data[[#This Row],[Phone]],"-",""),7)</f>
        <v>4014325</v>
      </c>
      <c r="G75" s="4" t="str">
        <f>SUBSTITUTE(SUBSTITUTE(SUBSTITUTE(cleaned_data[[#This Row],[Phone]],"(",""),")","")," ","")</f>
        <v>665401-4325</v>
      </c>
      <c r="H75" s="4" t="str">
        <f>raw_data[[#This Row],[Street Address]]</f>
        <v>8386 Queen Road</v>
      </c>
      <c r="I75" s="4" t="str">
        <f>TRIM(MID(cleaned_data[[#This Row],[Street Address]],FIND(" ",cleaned_data[[#This Row],[Street Address]])+1,LEN(cleaned_data[[#This Row],[Street Address]])))</f>
        <v>Queen Road</v>
      </c>
      <c r="J75" s="15" t="str">
        <f>raw_data[[#This Row],[Zipcode]]</f>
        <v>53821</v>
      </c>
      <c r="K75" s="4" t="str">
        <f>cleaned_data[[#This Row],[Zipcode]]&amp;" - "&amp;cleaned_data[[#This Row],[Street Name]]</f>
        <v>53821 - Queen Road</v>
      </c>
      <c r="L75" s="4" t="str">
        <f>LEFT(cleaned_data[[#This Row],[First Name]],3)&amp;LEFT(cleaned_data[[#This Row],[Last Name]],3)&amp;cleaned_data[[#This Row],[Area Code]]</f>
        <v>CecCox665</v>
      </c>
      <c r="M75" s="4" t="str">
        <f>SUBSTITUTE(cleaned_data[[#This Row],[Street Address]],"St.","Street")</f>
        <v>8386 Queen Road</v>
      </c>
      <c r="N75" s="4" t="str">
        <f>LEFT(cleaned_data[[#This Row],[Street Address]],FIND(" ",cleaned_data[[#This Row],[Street Address]])-1)</f>
        <v>8386</v>
      </c>
      <c r="O75" s="16">
        <f>raw_data[[#This Row],[Req Date]]</f>
        <v>41684</v>
      </c>
      <c r="P75" s="4">
        <f>YEAR(cleaned_data[[#This Row],[Req Date]])</f>
        <v>2014</v>
      </c>
      <c r="Q75" s="4">
        <f>MONTH(cleaned_data[[#This Row],[Req Date]])</f>
        <v>2</v>
      </c>
      <c r="R75" s="4">
        <f>DAY(cleaned_data[[#This Row],[Req Date]])</f>
        <v>14</v>
      </c>
    </row>
    <row r="76" spans="1:18" ht="15.6" x14ac:dyDescent="0.25">
      <c r="A76" s="4" t="str">
        <f>raw_data[[#This Row],[First Name]]</f>
        <v>Price</v>
      </c>
      <c r="B76" s="4" t="str">
        <f>raw_data[[#This Row],[Last Name]]</f>
        <v>Morales</v>
      </c>
      <c r="C76" s="4" t="str">
        <f>TRIM(cleaned_data[[#This Row],[First Name]]&amp; " "&amp;cleaned_data[[#This Row],[Last Name]])</f>
        <v>Price Morales</v>
      </c>
      <c r="D76" s="4" t="str">
        <f>raw_data[[#This Row],[Phone]]</f>
        <v>(739) 167-4430</v>
      </c>
      <c r="E76" s="4" t="str">
        <f>MID(cleaned_data[[#This Row],[Phone]],FIND("(",cleaned_data[[#This Row],[Phone]])+1,3)</f>
        <v>739</v>
      </c>
      <c r="F76" s="4" t="str">
        <f>RIGHT(SUBSTITUTE(cleaned_data[[#This Row],[Phone]],"-",""),7)</f>
        <v>1674430</v>
      </c>
      <c r="G76" s="4" t="str">
        <f>SUBSTITUTE(SUBSTITUTE(SUBSTITUTE(cleaned_data[[#This Row],[Phone]],"(",""),")","")," ","")</f>
        <v>739167-4430</v>
      </c>
      <c r="H76" s="4" t="str">
        <f>raw_data[[#This Row],[Street Address]]</f>
        <v>1662 Pure Ave.</v>
      </c>
      <c r="I76" s="4" t="str">
        <f>TRIM(MID(cleaned_data[[#This Row],[Street Address]],FIND(" ",cleaned_data[[#This Row],[Street Address]])+1,LEN(cleaned_data[[#This Row],[Street Address]])))</f>
        <v>Pure Ave.</v>
      </c>
      <c r="J76" s="15" t="str">
        <f>raw_data[[#This Row],[Zipcode]]</f>
        <v>48005</v>
      </c>
      <c r="K76" s="4" t="str">
        <f>cleaned_data[[#This Row],[Zipcode]]&amp;" - "&amp;cleaned_data[[#This Row],[Street Name]]</f>
        <v>48005 - Pure Ave.</v>
      </c>
      <c r="L76" s="4" t="str">
        <f>LEFT(cleaned_data[[#This Row],[First Name]],3)&amp;LEFT(cleaned_data[[#This Row],[Last Name]],3)&amp;cleaned_data[[#This Row],[Area Code]]</f>
        <v>PriMor739</v>
      </c>
      <c r="M76" s="4" t="str">
        <f>SUBSTITUTE(cleaned_data[[#This Row],[Street Address]],"St.","Street")</f>
        <v>1662 Pure Ave.</v>
      </c>
      <c r="N76" s="4" t="str">
        <f>LEFT(cleaned_data[[#This Row],[Street Address]],FIND(" ",cleaned_data[[#This Row],[Street Address]])-1)</f>
        <v>1662</v>
      </c>
      <c r="O76" s="16">
        <f>raw_data[[#This Row],[Req Date]]</f>
        <v>41641</v>
      </c>
      <c r="P76" s="4">
        <f>YEAR(cleaned_data[[#This Row],[Req Date]])</f>
        <v>2014</v>
      </c>
      <c r="Q76" s="4">
        <f>MONTH(cleaned_data[[#This Row],[Req Date]])</f>
        <v>1</v>
      </c>
      <c r="R76" s="4">
        <f>DAY(cleaned_data[[#This Row],[Req Date]])</f>
        <v>2</v>
      </c>
    </row>
    <row r="77" spans="1:18" ht="15.6" x14ac:dyDescent="0.25">
      <c r="A77" s="4" t="str">
        <f>raw_data[[#This Row],[First Name]]</f>
        <v>Hamish</v>
      </c>
      <c r="B77" s="4" t="str">
        <f>raw_data[[#This Row],[Last Name]]</f>
        <v>Prince</v>
      </c>
      <c r="C77" s="4" t="str">
        <f>TRIM(cleaned_data[[#This Row],[First Name]]&amp; " "&amp;cleaned_data[[#This Row],[Last Name]])</f>
        <v>Hamish Prince</v>
      </c>
      <c r="D77" s="4" t="str">
        <f>raw_data[[#This Row],[Phone]]</f>
        <v>(882) 721-8981</v>
      </c>
      <c r="E77" s="4" t="str">
        <f>MID(cleaned_data[[#This Row],[Phone]],FIND("(",cleaned_data[[#This Row],[Phone]])+1,3)</f>
        <v>882</v>
      </c>
      <c r="F77" s="4" t="str">
        <f>RIGHT(SUBSTITUTE(cleaned_data[[#This Row],[Phone]],"-",""),7)</f>
        <v>7218981</v>
      </c>
      <c r="G77" s="4" t="str">
        <f>SUBSTITUTE(SUBSTITUTE(SUBSTITUTE(cleaned_data[[#This Row],[Phone]],"(",""),")","")," ","")</f>
        <v>882721-8981</v>
      </c>
      <c r="H77" s="4" t="str">
        <f>raw_data[[#This Row],[Street Address]]</f>
        <v>6865 Accumsan Ave.</v>
      </c>
      <c r="I77" s="4" t="str">
        <f>TRIM(MID(cleaned_data[[#This Row],[Street Address]],FIND(" ",cleaned_data[[#This Row],[Street Address]])+1,LEN(cleaned_data[[#This Row],[Street Address]])))</f>
        <v>Accumsan Ave.</v>
      </c>
      <c r="J77" s="15" t="str">
        <f>raw_data[[#This Row],[Zipcode]]</f>
        <v>48006</v>
      </c>
      <c r="K77" s="4" t="str">
        <f>cleaned_data[[#This Row],[Zipcode]]&amp;" - "&amp;cleaned_data[[#This Row],[Street Name]]</f>
        <v>48006 - Accumsan Ave.</v>
      </c>
      <c r="L77" s="4" t="str">
        <f>LEFT(cleaned_data[[#This Row],[First Name]],3)&amp;LEFT(cleaned_data[[#This Row],[Last Name]],3)&amp;cleaned_data[[#This Row],[Area Code]]</f>
        <v>HamPri882</v>
      </c>
      <c r="M77" s="4" t="str">
        <f>SUBSTITUTE(cleaned_data[[#This Row],[Street Address]],"St.","Street")</f>
        <v>6865 Accumsan Ave.</v>
      </c>
      <c r="N77" s="4" t="str">
        <f>LEFT(cleaned_data[[#This Row],[Street Address]],FIND(" ",cleaned_data[[#This Row],[Street Address]])-1)</f>
        <v>6865</v>
      </c>
      <c r="O77" s="16">
        <f>raw_data[[#This Row],[Req Date]]</f>
        <v>41682</v>
      </c>
      <c r="P77" s="4">
        <f>YEAR(cleaned_data[[#This Row],[Req Date]])</f>
        <v>2014</v>
      </c>
      <c r="Q77" s="4">
        <f>MONTH(cleaned_data[[#This Row],[Req Date]])</f>
        <v>2</v>
      </c>
      <c r="R77" s="4">
        <f>DAY(cleaned_data[[#This Row],[Req Date]])</f>
        <v>12</v>
      </c>
    </row>
    <row r="78" spans="1:18" ht="15.6" x14ac:dyDescent="0.25">
      <c r="A78" s="4" t="str">
        <f>raw_data[[#This Row],[First Name]]</f>
        <v>Cyrus</v>
      </c>
      <c r="B78" s="4" t="str">
        <f>raw_data[[#This Row],[Last Name]]</f>
        <v>Barlow</v>
      </c>
      <c r="C78" s="4" t="str">
        <f>TRIM(cleaned_data[[#This Row],[First Name]]&amp; " "&amp;cleaned_data[[#This Row],[Last Name]])</f>
        <v>Cyrus Barlow</v>
      </c>
      <c r="D78" s="4" t="str">
        <f>raw_data[[#This Row],[Phone]]</f>
        <v>(997) 615-6114</v>
      </c>
      <c r="E78" s="4" t="str">
        <f>MID(cleaned_data[[#This Row],[Phone]],FIND("(",cleaned_data[[#This Row],[Phone]])+1,3)</f>
        <v>997</v>
      </c>
      <c r="F78" s="4" t="str">
        <f>RIGHT(SUBSTITUTE(cleaned_data[[#This Row],[Phone]],"-",""),7)</f>
        <v>6156114</v>
      </c>
      <c r="G78" s="4" t="str">
        <f>SUBSTITUTE(SUBSTITUTE(SUBSTITUTE(cleaned_data[[#This Row],[Phone]],"(",""),")","")," ","")</f>
        <v>997615-6114</v>
      </c>
      <c r="H78" s="4" t="str">
        <f>raw_data[[#This Row],[Street Address]]</f>
        <v>5902 Euismod Road</v>
      </c>
      <c r="I78" s="4" t="str">
        <f>TRIM(MID(cleaned_data[[#This Row],[Street Address]],FIND(" ",cleaned_data[[#This Row],[Street Address]])+1,LEN(cleaned_data[[#This Row],[Street Address]])))</f>
        <v>Euismod Road</v>
      </c>
      <c r="J78" s="15" t="str">
        <f>raw_data[[#This Row],[Zipcode]]</f>
        <v>48007</v>
      </c>
      <c r="K78" s="4" t="str">
        <f>cleaned_data[[#This Row],[Zipcode]]&amp;" - "&amp;cleaned_data[[#This Row],[Street Name]]</f>
        <v>48007 - Euismod Road</v>
      </c>
      <c r="L78" s="4" t="str">
        <f>LEFT(cleaned_data[[#This Row],[First Name]],3)&amp;LEFT(cleaned_data[[#This Row],[Last Name]],3)&amp;cleaned_data[[#This Row],[Area Code]]</f>
        <v>CyrBar997</v>
      </c>
      <c r="M78" s="4" t="str">
        <f>SUBSTITUTE(cleaned_data[[#This Row],[Street Address]],"St.","Street")</f>
        <v>5902 Euismod Road</v>
      </c>
      <c r="N78" s="4" t="str">
        <f>LEFT(cleaned_data[[#This Row],[Street Address]],FIND(" ",cleaned_data[[#This Row],[Street Address]])-1)</f>
        <v>5902</v>
      </c>
      <c r="O78" s="16">
        <f>raw_data[[#This Row],[Req Date]]</f>
        <v>41636</v>
      </c>
      <c r="P78" s="4">
        <f>YEAR(cleaned_data[[#This Row],[Req Date]])</f>
        <v>2013</v>
      </c>
      <c r="Q78" s="4">
        <f>MONTH(cleaned_data[[#This Row],[Req Date]])</f>
        <v>12</v>
      </c>
      <c r="R78" s="4">
        <f>DAY(cleaned_data[[#This Row],[Req Date]])</f>
        <v>28</v>
      </c>
    </row>
    <row r="79" spans="1:18" ht="15.6" x14ac:dyDescent="0.25">
      <c r="A79" s="4" t="str">
        <f>raw_data[[#This Row],[First Name]]</f>
        <v>Caleb</v>
      </c>
      <c r="B79" s="4" t="str">
        <f>raw_data[[#This Row],[Last Name]]</f>
        <v>Hughes</v>
      </c>
      <c r="C79" s="4" t="str">
        <f>TRIM(cleaned_data[[#This Row],[First Name]]&amp; " "&amp;cleaned_data[[#This Row],[Last Name]])</f>
        <v>Caleb Hughes</v>
      </c>
      <c r="D79" s="4" t="str">
        <f>raw_data[[#This Row],[Phone]]</f>
        <v>(727) 245-7747</v>
      </c>
      <c r="E79" s="4" t="str">
        <f>MID(cleaned_data[[#This Row],[Phone]],FIND("(",cleaned_data[[#This Row],[Phone]])+1,3)</f>
        <v>727</v>
      </c>
      <c r="F79" s="4" t="str">
        <f>RIGHT(SUBSTITUTE(cleaned_data[[#This Row],[Phone]],"-",""),7)</f>
        <v>2457747</v>
      </c>
      <c r="G79" s="4" t="str">
        <f>SUBSTITUTE(SUBSTITUTE(SUBSTITUTE(cleaned_data[[#This Row],[Phone]],"(",""),")","")," ","")</f>
        <v>727245-7747</v>
      </c>
      <c r="H79" s="4" t="str">
        <f>raw_data[[#This Row],[Street Address]]</f>
        <v>668 Second St.</v>
      </c>
      <c r="I79" s="4" t="str">
        <f>TRIM(MID(cleaned_data[[#This Row],[Street Address]],FIND(" ",cleaned_data[[#This Row],[Street Address]])+1,LEN(cleaned_data[[#This Row],[Street Address]])))</f>
        <v>Second St.</v>
      </c>
      <c r="J79" s="15" t="str">
        <f>raw_data[[#This Row],[Zipcode]]</f>
        <v>48009</v>
      </c>
      <c r="K79" s="4" t="str">
        <f>cleaned_data[[#This Row],[Zipcode]]&amp;" - "&amp;cleaned_data[[#This Row],[Street Name]]</f>
        <v>48009 - Second St.</v>
      </c>
      <c r="L79" s="4" t="str">
        <f>LEFT(cleaned_data[[#This Row],[First Name]],3)&amp;LEFT(cleaned_data[[#This Row],[Last Name]],3)&amp;cleaned_data[[#This Row],[Area Code]]</f>
        <v>CalHug727</v>
      </c>
      <c r="M79" s="4" t="str">
        <f>SUBSTITUTE(cleaned_data[[#This Row],[Street Address]],"St.","Street")</f>
        <v>668 Second Street</v>
      </c>
      <c r="N79" s="4" t="str">
        <f>LEFT(cleaned_data[[#This Row],[Street Address]],FIND(" ",cleaned_data[[#This Row],[Street Address]])-1)</f>
        <v>668</v>
      </c>
      <c r="O79" s="16">
        <f>raw_data[[#This Row],[Req Date]]</f>
        <v>41664</v>
      </c>
      <c r="P79" s="4">
        <f>YEAR(cleaned_data[[#This Row],[Req Date]])</f>
        <v>2014</v>
      </c>
      <c r="Q79" s="4">
        <f>MONTH(cleaned_data[[#This Row],[Req Date]])</f>
        <v>1</v>
      </c>
      <c r="R79" s="4">
        <f>DAY(cleaned_data[[#This Row],[Req Date]])</f>
        <v>25</v>
      </c>
    </row>
    <row r="80" spans="1:18" ht="15.6" x14ac:dyDescent="0.25">
      <c r="A80" s="4" t="str">
        <f>raw_data[[#This Row],[First Name]]</f>
        <v>Alana</v>
      </c>
      <c r="B80" s="4" t="str">
        <f>raw_data[[#This Row],[Last Name]]</f>
        <v>Cruz</v>
      </c>
      <c r="C80" s="4" t="str">
        <f>TRIM(cleaned_data[[#This Row],[First Name]]&amp; " "&amp;cleaned_data[[#This Row],[Last Name]])</f>
        <v>Alana Cruz</v>
      </c>
      <c r="D80" s="4" t="str">
        <f>raw_data[[#This Row],[Phone]]</f>
        <v>(323) 743-0418</v>
      </c>
      <c r="E80" s="4" t="str">
        <f>MID(cleaned_data[[#This Row],[Phone]],FIND("(",cleaned_data[[#This Row],[Phone]])+1,3)</f>
        <v>323</v>
      </c>
      <c r="F80" s="4" t="str">
        <f>RIGHT(SUBSTITUTE(cleaned_data[[#This Row],[Phone]],"-",""),7)</f>
        <v>7430418</v>
      </c>
      <c r="G80" s="4" t="str">
        <f>SUBSTITUTE(SUBSTITUTE(SUBSTITUTE(cleaned_data[[#This Row],[Phone]],"(",""),")","")," ","")</f>
        <v>323743-0418</v>
      </c>
      <c r="H80" s="4" t="str">
        <f>raw_data[[#This Row],[Street Address]]</f>
        <v>4017 Seed Ave.</v>
      </c>
      <c r="I80" s="4" t="str">
        <f>TRIM(MID(cleaned_data[[#This Row],[Street Address]],FIND(" ",cleaned_data[[#This Row],[Street Address]])+1,LEN(cleaned_data[[#This Row],[Street Address]])))</f>
        <v>Seed Ave.</v>
      </c>
      <c r="J80" s="15" t="str">
        <f>raw_data[[#This Row],[Zipcode]]</f>
        <v>55063</v>
      </c>
      <c r="K80" s="4" t="str">
        <f>cleaned_data[[#This Row],[Zipcode]]&amp;" - "&amp;cleaned_data[[#This Row],[Street Name]]</f>
        <v>55063 - Seed Ave.</v>
      </c>
      <c r="L80" s="4" t="str">
        <f>LEFT(cleaned_data[[#This Row],[First Name]],3)&amp;LEFT(cleaned_data[[#This Row],[Last Name]],3)&amp;cleaned_data[[#This Row],[Area Code]]</f>
        <v>AlaCru323</v>
      </c>
      <c r="M80" s="4" t="str">
        <f>SUBSTITUTE(cleaned_data[[#This Row],[Street Address]],"St.","Street")</f>
        <v>4017 Seed Ave.</v>
      </c>
      <c r="N80" s="4" t="str">
        <f>LEFT(cleaned_data[[#This Row],[Street Address]],FIND(" ",cleaned_data[[#This Row],[Street Address]])-1)</f>
        <v>4017</v>
      </c>
      <c r="O80" s="16">
        <f>raw_data[[#This Row],[Req Date]]</f>
        <v>41623</v>
      </c>
      <c r="P80" s="4">
        <f>YEAR(cleaned_data[[#This Row],[Req Date]])</f>
        <v>2013</v>
      </c>
      <c r="Q80" s="4">
        <f>MONTH(cleaned_data[[#This Row],[Req Date]])</f>
        <v>12</v>
      </c>
      <c r="R80" s="4">
        <f>DAY(cleaned_data[[#This Row],[Req Date]])</f>
        <v>15</v>
      </c>
    </row>
    <row r="81" spans="1:18" ht="15.6" x14ac:dyDescent="0.25">
      <c r="A81" s="4" t="str">
        <f>raw_data[[#This Row],[First Name]]</f>
        <v>Tanya</v>
      </c>
      <c r="B81" s="4" t="str">
        <f>raw_data[[#This Row],[Last Name]]</f>
        <v>Sandoval</v>
      </c>
      <c r="C81" s="4" t="str">
        <f>TRIM(cleaned_data[[#This Row],[First Name]]&amp; " "&amp;cleaned_data[[#This Row],[Last Name]])</f>
        <v>Tanya Sandoval</v>
      </c>
      <c r="D81" s="4" t="str">
        <f>raw_data[[#This Row],[Phone]]</f>
        <v>(646) 743-0653</v>
      </c>
      <c r="E81" s="4" t="str">
        <f>MID(cleaned_data[[#This Row],[Phone]],FIND("(",cleaned_data[[#This Row],[Phone]])+1,3)</f>
        <v>646</v>
      </c>
      <c r="F81" s="4" t="str">
        <f>RIGHT(SUBSTITUTE(cleaned_data[[#This Row],[Phone]],"-",""),7)</f>
        <v>7430653</v>
      </c>
      <c r="G81" s="4" t="str">
        <f>SUBSTITUTE(SUBSTITUTE(SUBSTITUTE(cleaned_data[[#This Row],[Phone]],"(",""),")","")," ","")</f>
        <v>646743-0653</v>
      </c>
      <c r="H81" s="4" t="str">
        <f>raw_data[[#This Row],[Street Address]]</f>
        <v>3535 Accent Street</v>
      </c>
      <c r="I81" s="4" t="str">
        <f>TRIM(MID(cleaned_data[[#This Row],[Street Address]],FIND(" ",cleaned_data[[#This Row],[Street Address]])+1,LEN(cleaned_data[[#This Row],[Street Address]])))</f>
        <v>Accent Street</v>
      </c>
      <c r="J81" s="15" t="str">
        <f>raw_data[[#This Row],[Zipcode]]</f>
        <v>55065</v>
      </c>
      <c r="K81" s="4" t="str">
        <f>cleaned_data[[#This Row],[Zipcode]]&amp;" - "&amp;cleaned_data[[#This Row],[Street Name]]</f>
        <v>55065 - Accent Street</v>
      </c>
      <c r="L81" s="4" t="str">
        <f>LEFT(cleaned_data[[#This Row],[First Name]],3)&amp;LEFT(cleaned_data[[#This Row],[Last Name]],3)&amp;cleaned_data[[#This Row],[Area Code]]</f>
        <v>TanSan646</v>
      </c>
      <c r="M81" s="4" t="str">
        <f>SUBSTITUTE(cleaned_data[[#This Row],[Street Address]],"St.","Street")</f>
        <v>3535 Accent Street</v>
      </c>
      <c r="N81" s="4" t="str">
        <f>LEFT(cleaned_data[[#This Row],[Street Address]],FIND(" ",cleaned_data[[#This Row],[Street Address]])-1)</f>
        <v>3535</v>
      </c>
      <c r="O81" s="16">
        <f>raw_data[[#This Row],[Req Date]]</f>
        <v>41665</v>
      </c>
      <c r="P81" s="4">
        <f>YEAR(cleaned_data[[#This Row],[Req Date]])</f>
        <v>2014</v>
      </c>
      <c r="Q81" s="4">
        <f>MONTH(cleaned_data[[#This Row],[Req Date]])</f>
        <v>1</v>
      </c>
      <c r="R81" s="4">
        <f>DAY(cleaned_data[[#This Row],[Req Date]])</f>
        <v>26</v>
      </c>
    </row>
    <row r="82" spans="1:18" ht="15.6" x14ac:dyDescent="0.25">
      <c r="A82" s="4" t="str">
        <f>raw_data[[#This Row],[First Name]]</f>
        <v>Echo</v>
      </c>
      <c r="B82" s="4" t="str">
        <f>raw_data[[#This Row],[Last Name]]</f>
        <v>Ingram</v>
      </c>
      <c r="C82" s="4" t="str">
        <f>TRIM(cleaned_data[[#This Row],[First Name]]&amp; " "&amp;cleaned_data[[#This Row],[Last Name]])</f>
        <v>Echo Ingram</v>
      </c>
      <c r="D82" s="4" t="str">
        <f>raw_data[[#This Row],[Phone]]</f>
        <v>(799) 653-4880</v>
      </c>
      <c r="E82" s="4" t="str">
        <f>MID(cleaned_data[[#This Row],[Phone]],FIND("(",cleaned_data[[#This Row],[Phone]])+1,3)</f>
        <v>799</v>
      </c>
      <c r="F82" s="4" t="str">
        <f>RIGHT(SUBSTITUTE(cleaned_data[[#This Row],[Phone]],"-",""),7)</f>
        <v>6534880</v>
      </c>
      <c r="G82" s="4" t="str">
        <f>SUBSTITUTE(SUBSTITUTE(SUBSTITUTE(cleaned_data[[#This Row],[Phone]],"(",""),")","")," ","")</f>
        <v>799653-4880</v>
      </c>
      <c r="H82" s="4" t="str">
        <f>raw_data[[#This Row],[Street Address]]</f>
        <v>7032 South Canal Road</v>
      </c>
      <c r="I82" s="4" t="str">
        <f>TRIM(MID(cleaned_data[[#This Row],[Street Address]],FIND(" ",cleaned_data[[#This Row],[Street Address]])+1,LEN(cleaned_data[[#This Row],[Street Address]])))</f>
        <v>South Canal Road</v>
      </c>
      <c r="J82" s="15" t="str">
        <f>raw_data[[#This Row],[Zipcode]]</f>
        <v>55066</v>
      </c>
      <c r="K82" s="4" t="str">
        <f>cleaned_data[[#This Row],[Zipcode]]&amp;" - "&amp;cleaned_data[[#This Row],[Street Name]]</f>
        <v>55066 - South Canal Road</v>
      </c>
      <c r="L82" s="4" t="str">
        <f>LEFT(cleaned_data[[#This Row],[First Name]],3)&amp;LEFT(cleaned_data[[#This Row],[Last Name]],3)&amp;cleaned_data[[#This Row],[Area Code]]</f>
        <v>EchIng799</v>
      </c>
      <c r="M82" s="4" t="str">
        <f>SUBSTITUTE(cleaned_data[[#This Row],[Street Address]],"St.","Street")</f>
        <v>7032 South Canal Road</v>
      </c>
      <c r="N82" s="4" t="str">
        <f>LEFT(cleaned_data[[#This Row],[Street Address]],FIND(" ",cleaned_data[[#This Row],[Street Address]])-1)</f>
        <v>7032</v>
      </c>
      <c r="O82" s="16">
        <f>raw_data[[#This Row],[Req Date]]</f>
        <v>41662</v>
      </c>
      <c r="P82" s="4">
        <f>YEAR(cleaned_data[[#This Row],[Req Date]])</f>
        <v>2014</v>
      </c>
      <c r="Q82" s="4">
        <f>MONTH(cleaned_data[[#This Row],[Req Date]])</f>
        <v>1</v>
      </c>
      <c r="R82" s="4">
        <f>DAY(cleaned_data[[#This Row],[Req Date]])</f>
        <v>23</v>
      </c>
    </row>
    <row r="83" spans="1:18" ht="15.6" x14ac:dyDescent="0.25">
      <c r="A83" s="4" t="str">
        <f>raw_data[[#This Row],[First Name]]</f>
        <v>Tara</v>
      </c>
      <c r="B83" s="4" t="str">
        <f>raw_data[[#This Row],[Last Name]]</f>
        <v>Franklin</v>
      </c>
      <c r="C83" s="4" t="str">
        <f>TRIM(cleaned_data[[#This Row],[First Name]]&amp; " "&amp;cleaned_data[[#This Row],[Last Name]])</f>
        <v>Tara Franklin</v>
      </c>
      <c r="D83" s="4" t="str">
        <f>raw_data[[#This Row],[Phone]]</f>
        <v>(693) 113-4331</v>
      </c>
      <c r="E83" s="4" t="str">
        <f>MID(cleaned_data[[#This Row],[Phone]],FIND("(",cleaned_data[[#This Row],[Phone]])+1,3)</f>
        <v>693</v>
      </c>
      <c r="F83" s="4" t="str">
        <f>RIGHT(SUBSTITUTE(cleaned_data[[#This Row],[Phone]],"-",""),7)</f>
        <v>1134331</v>
      </c>
      <c r="G83" s="4" t="str">
        <f>SUBSTITUTE(SUBSTITUTE(SUBSTITUTE(cleaned_data[[#This Row],[Phone]],"(",""),")","")," ","")</f>
        <v>693113-4331</v>
      </c>
      <c r="H83" s="4" t="str">
        <f>raw_data[[#This Row],[Street Address]]</f>
        <v>6697 Egret Street</v>
      </c>
      <c r="I83" s="4" t="str">
        <f>TRIM(MID(cleaned_data[[#This Row],[Street Address]],FIND(" ",cleaned_data[[#This Row],[Street Address]])+1,LEN(cleaned_data[[#This Row],[Street Address]])))</f>
        <v>Egret Street</v>
      </c>
      <c r="J83" s="15" t="str">
        <f>raw_data[[#This Row],[Zipcode]]</f>
        <v>55067</v>
      </c>
      <c r="K83" s="4" t="str">
        <f>cleaned_data[[#This Row],[Zipcode]]&amp;" - "&amp;cleaned_data[[#This Row],[Street Name]]</f>
        <v>55067 - Egret Street</v>
      </c>
      <c r="L83" s="4" t="str">
        <f>LEFT(cleaned_data[[#This Row],[First Name]],3)&amp;LEFT(cleaned_data[[#This Row],[Last Name]],3)&amp;cleaned_data[[#This Row],[Area Code]]</f>
        <v>TarFra693</v>
      </c>
      <c r="M83" s="4" t="str">
        <f>SUBSTITUTE(cleaned_data[[#This Row],[Street Address]],"St.","Street")</f>
        <v>6697 Egret Street</v>
      </c>
      <c r="N83" s="4" t="str">
        <f>LEFT(cleaned_data[[#This Row],[Street Address]],FIND(" ",cleaned_data[[#This Row],[Street Address]])-1)</f>
        <v>6697</v>
      </c>
      <c r="O83" s="16">
        <f>raw_data[[#This Row],[Req Date]]</f>
        <v>41637</v>
      </c>
      <c r="P83" s="4">
        <f>YEAR(cleaned_data[[#This Row],[Req Date]])</f>
        <v>2013</v>
      </c>
      <c r="Q83" s="4">
        <f>MONTH(cleaned_data[[#This Row],[Req Date]])</f>
        <v>12</v>
      </c>
      <c r="R83" s="4">
        <f>DAY(cleaned_data[[#This Row],[Req Date]])</f>
        <v>29</v>
      </c>
    </row>
    <row r="84" spans="1:18" ht="15.6" x14ac:dyDescent="0.25">
      <c r="A84" s="4" t="str">
        <f>raw_data[[#This Row],[First Name]]</f>
        <v>Nichole</v>
      </c>
      <c r="B84" s="4" t="str">
        <f>raw_data[[#This Row],[Last Name]]</f>
        <v>Kirkland</v>
      </c>
      <c r="C84" s="4" t="str">
        <f>TRIM(cleaned_data[[#This Row],[First Name]]&amp; " "&amp;cleaned_data[[#This Row],[Last Name]])</f>
        <v>Nichole Kirkland</v>
      </c>
      <c r="D84" s="4" t="str">
        <f>raw_data[[#This Row],[Phone]]</f>
        <v>(990) 412-0289</v>
      </c>
      <c r="E84" s="4" t="str">
        <f>MID(cleaned_data[[#This Row],[Phone]],FIND("(",cleaned_data[[#This Row],[Phone]])+1,3)</f>
        <v>990</v>
      </c>
      <c r="F84" s="4" t="str">
        <f>RIGHT(SUBSTITUTE(cleaned_data[[#This Row],[Phone]],"-",""),7)</f>
        <v>4120289</v>
      </c>
      <c r="G84" s="4" t="str">
        <f>SUBSTITUTE(SUBSTITUTE(SUBSTITUTE(cleaned_data[[#This Row],[Phone]],"(",""),")","")," ","")</f>
        <v>990412-0289</v>
      </c>
      <c r="H84" s="4" t="str">
        <f>raw_data[[#This Row],[Street Address]]</f>
        <v>3920 Curabitur Ave.</v>
      </c>
      <c r="I84" s="4" t="str">
        <f>TRIM(MID(cleaned_data[[#This Row],[Street Address]],FIND(" ",cleaned_data[[#This Row],[Street Address]])+1,LEN(cleaned_data[[#This Row],[Street Address]])))</f>
        <v>Curabitur Ave.</v>
      </c>
      <c r="J84" s="15" t="str">
        <f>raw_data[[#This Row],[Zipcode]]</f>
        <v>57340</v>
      </c>
      <c r="K84" s="4" t="str">
        <f>cleaned_data[[#This Row],[Zipcode]]&amp;" - "&amp;cleaned_data[[#This Row],[Street Name]]</f>
        <v>57340 - Curabitur Ave.</v>
      </c>
      <c r="L84" s="4" t="str">
        <f>LEFT(cleaned_data[[#This Row],[First Name]],3)&amp;LEFT(cleaned_data[[#This Row],[Last Name]],3)&amp;cleaned_data[[#This Row],[Area Code]]</f>
        <v>NicKir990</v>
      </c>
      <c r="M84" s="4" t="str">
        <f>SUBSTITUTE(cleaned_data[[#This Row],[Street Address]],"St.","Street")</f>
        <v>3920 Curabitur Ave.</v>
      </c>
      <c r="N84" s="4" t="str">
        <f>LEFT(cleaned_data[[#This Row],[Street Address]],FIND(" ",cleaned_data[[#This Row],[Street Address]])-1)</f>
        <v>3920</v>
      </c>
      <c r="O84" s="16">
        <f>raw_data[[#This Row],[Req Date]]</f>
        <v>41624</v>
      </c>
      <c r="P84" s="4">
        <f>YEAR(cleaned_data[[#This Row],[Req Date]])</f>
        <v>2013</v>
      </c>
      <c r="Q84" s="4">
        <f>MONTH(cleaned_data[[#This Row],[Req Date]])</f>
        <v>12</v>
      </c>
      <c r="R84" s="4">
        <f>DAY(cleaned_data[[#This Row],[Req Date]])</f>
        <v>16</v>
      </c>
    </row>
    <row r="85" spans="1:18" ht="15.6" x14ac:dyDescent="0.25">
      <c r="A85" s="4" t="str">
        <f>raw_data[[#This Row],[First Name]]</f>
        <v>Harriet</v>
      </c>
      <c r="B85" s="4" t="str">
        <f>raw_data[[#This Row],[Last Name]]</f>
        <v>Malone</v>
      </c>
      <c r="C85" s="4" t="str">
        <f>TRIM(cleaned_data[[#This Row],[First Name]]&amp; " "&amp;cleaned_data[[#This Row],[Last Name]])</f>
        <v>Harriet Malone</v>
      </c>
      <c r="D85" s="4" t="str">
        <f>raw_data[[#This Row],[Phone]]</f>
        <v>(538) 639-6085</v>
      </c>
      <c r="E85" s="4" t="str">
        <f>MID(cleaned_data[[#This Row],[Phone]],FIND("(",cleaned_data[[#This Row],[Phone]])+1,3)</f>
        <v>538</v>
      </c>
      <c r="F85" s="4" t="str">
        <f>RIGHT(SUBSTITUTE(cleaned_data[[#This Row],[Phone]],"-",""),7)</f>
        <v>6396085</v>
      </c>
      <c r="G85" s="4" t="str">
        <f>SUBSTITUTE(SUBSTITUTE(SUBSTITUTE(cleaned_data[[#This Row],[Phone]],"(",""),")","")," ","")</f>
        <v>538639-6085</v>
      </c>
      <c r="H85" s="4" t="str">
        <f>raw_data[[#This Row],[Street Address]]</f>
        <v>1597 Sapien St.</v>
      </c>
      <c r="I85" s="4" t="str">
        <f>TRIM(MID(cleaned_data[[#This Row],[Street Address]],FIND(" ",cleaned_data[[#This Row],[Street Address]])+1,LEN(cleaned_data[[#This Row],[Street Address]])))</f>
        <v>Sapien St.</v>
      </c>
      <c r="J85" s="15" t="str">
        <f>raw_data[[#This Row],[Zipcode]]</f>
        <v>57341</v>
      </c>
      <c r="K85" s="4" t="str">
        <f>cleaned_data[[#This Row],[Zipcode]]&amp;" - "&amp;cleaned_data[[#This Row],[Street Name]]</f>
        <v>57341 - Sapien St.</v>
      </c>
      <c r="L85" s="4" t="str">
        <f>LEFT(cleaned_data[[#This Row],[First Name]],3)&amp;LEFT(cleaned_data[[#This Row],[Last Name]],3)&amp;cleaned_data[[#This Row],[Area Code]]</f>
        <v>HarMal538</v>
      </c>
      <c r="M85" s="4" t="str">
        <f>SUBSTITUTE(cleaned_data[[#This Row],[Street Address]],"St.","Street")</f>
        <v>1597 Sapien Street</v>
      </c>
      <c r="N85" s="4" t="str">
        <f>LEFT(cleaned_data[[#This Row],[Street Address]],FIND(" ",cleaned_data[[#This Row],[Street Address]])-1)</f>
        <v>1597</v>
      </c>
      <c r="O85" s="16">
        <f>raw_data[[#This Row],[Req Date]]</f>
        <v>41633</v>
      </c>
      <c r="P85" s="4">
        <f>YEAR(cleaned_data[[#This Row],[Req Date]])</f>
        <v>2013</v>
      </c>
      <c r="Q85" s="4">
        <f>MONTH(cleaned_data[[#This Row],[Req Date]])</f>
        <v>12</v>
      </c>
      <c r="R85" s="4">
        <f>DAY(cleaned_data[[#This Row],[Req Date]])</f>
        <v>25</v>
      </c>
    </row>
    <row r="86" spans="1:18" ht="15.6" x14ac:dyDescent="0.25">
      <c r="A86" s="4" t="str">
        <f>raw_data[[#This Row],[First Name]]</f>
        <v>Carter</v>
      </c>
      <c r="B86" s="4" t="str">
        <f>raw_data[[#This Row],[Last Name]]</f>
        <v>Carrillo</v>
      </c>
      <c r="C86" s="4" t="str">
        <f>TRIM(cleaned_data[[#This Row],[First Name]]&amp; " "&amp;cleaned_data[[#This Row],[Last Name]])</f>
        <v>Carter Carrillo</v>
      </c>
      <c r="D86" s="4" t="str">
        <f>raw_data[[#This Row],[Phone]]</f>
        <v>(700) 673-1185</v>
      </c>
      <c r="E86" s="4" t="str">
        <f>MID(cleaned_data[[#This Row],[Phone]],FIND("(",cleaned_data[[#This Row],[Phone]])+1,3)</f>
        <v>700</v>
      </c>
      <c r="F86" s="4" t="str">
        <f>RIGHT(SUBSTITUTE(cleaned_data[[#This Row],[Phone]],"-",""),7)</f>
        <v>6731185</v>
      </c>
      <c r="G86" s="4" t="str">
        <f>SUBSTITUTE(SUBSTITUTE(SUBSTITUTE(cleaned_data[[#This Row],[Phone]],"(",""),")","")," ","")</f>
        <v>700673-1185</v>
      </c>
      <c r="H86" s="4" t="str">
        <f>raw_data[[#This Row],[Street Address]]</f>
        <v>9007 Porch Rd.</v>
      </c>
      <c r="I86" s="4" t="str">
        <f>TRIM(MID(cleaned_data[[#This Row],[Street Address]],FIND(" ",cleaned_data[[#This Row],[Street Address]])+1,LEN(cleaned_data[[#This Row],[Street Address]])))</f>
        <v>Porch Rd.</v>
      </c>
      <c r="J86" s="15" t="str">
        <f>raw_data[[#This Row],[Zipcode]]</f>
        <v>58241</v>
      </c>
      <c r="K86" s="4" t="str">
        <f>cleaned_data[[#This Row],[Zipcode]]&amp;" - "&amp;cleaned_data[[#This Row],[Street Name]]</f>
        <v>58241 - Porch Rd.</v>
      </c>
      <c r="L86" s="4" t="str">
        <f>LEFT(cleaned_data[[#This Row],[First Name]],3)&amp;LEFT(cleaned_data[[#This Row],[Last Name]],3)&amp;cleaned_data[[#This Row],[Area Code]]</f>
        <v>CarCar700</v>
      </c>
      <c r="M86" s="4" t="str">
        <f>SUBSTITUTE(cleaned_data[[#This Row],[Street Address]],"St.","Street")</f>
        <v>9007 Porch Rd.</v>
      </c>
      <c r="N86" s="4" t="str">
        <f>LEFT(cleaned_data[[#This Row],[Street Address]],FIND(" ",cleaned_data[[#This Row],[Street Address]])-1)</f>
        <v>9007</v>
      </c>
      <c r="O86" s="16">
        <f>raw_data[[#This Row],[Req Date]]</f>
        <v>41629</v>
      </c>
      <c r="P86" s="4">
        <f>YEAR(cleaned_data[[#This Row],[Req Date]])</f>
        <v>2013</v>
      </c>
      <c r="Q86" s="4">
        <f>MONTH(cleaned_data[[#This Row],[Req Date]])</f>
        <v>12</v>
      </c>
      <c r="R86" s="4">
        <f>DAY(cleaned_data[[#This Row],[Req Date]])</f>
        <v>21</v>
      </c>
    </row>
    <row r="87" spans="1:18" ht="15.6" x14ac:dyDescent="0.25">
      <c r="A87" s="4" t="str">
        <f>raw_data[[#This Row],[First Name]]</f>
        <v>Scarlett</v>
      </c>
      <c r="B87" s="4" t="str">
        <f>raw_data[[#This Row],[Last Name]]</f>
        <v>Patterson</v>
      </c>
      <c r="C87" s="4" t="str">
        <f>TRIM(cleaned_data[[#This Row],[First Name]]&amp; " "&amp;cleaned_data[[#This Row],[Last Name]])</f>
        <v>Scarlett Patterson</v>
      </c>
      <c r="D87" s="4" t="str">
        <f>raw_data[[#This Row],[Phone]]</f>
        <v>(143) 214-4892</v>
      </c>
      <c r="E87" s="4" t="str">
        <f>MID(cleaned_data[[#This Row],[Phone]],FIND("(",cleaned_data[[#This Row],[Phone]])+1,3)</f>
        <v>143</v>
      </c>
      <c r="F87" s="4" t="str">
        <f>RIGHT(SUBSTITUTE(cleaned_data[[#This Row],[Phone]],"-",""),7)</f>
        <v>2144892</v>
      </c>
      <c r="G87" s="4" t="str">
        <f>SUBSTITUTE(SUBSTITUTE(SUBSTITUTE(cleaned_data[[#This Row],[Phone]],"(",""),")","")," ","")</f>
        <v>143214-4892</v>
      </c>
      <c r="H87" s="4" t="str">
        <f>raw_data[[#This Row],[Street Address]]</f>
        <v>6596 Tempor St.</v>
      </c>
      <c r="I87" s="4" t="str">
        <f>TRIM(MID(cleaned_data[[#This Row],[Street Address]],FIND(" ",cleaned_data[[#This Row],[Street Address]])+1,LEN(cleaned_data[[#This Row],[Street Address]])))</f>
        <v>Tempor St.</v>
      </c>
      <c r="J87" s="15" t="str">
        <f>raw_data[[#This Row],[Zipcode]]</f>
        <v>58243</v>
      </c>
      <c r="K87" s="4" t="str">
        <f>cleaned_data[[#This Row],[Zipcode]]&amp;" - "&amp;cleaned_data[[#This Row],[Street Name]]</f>
        <v>58243 - Tempor St.</v>
      </c>
      <c r="L87" s="4" t="str">
        <f>LEFT(cleaned_data[[#This Row],[First Name]],3)&amp;LEFT(cleaned_data[[#This Row],[Last Name]],3)&amp;cleaned_data[[#This Row],[Area Code]]</f>
        <v>ScaPat143</v>
      </c>
      <c r="M87" s="4" t="str">
        <f>SUBSTITUTE(cleaned_data[[#This Row],[Street Address]],"St.","Street")</f>
        <v>6596 Tempor Street</v>
      </c>
      <c r="N87" s="4" t="str">
        <f>LEFT(cleaned_data[[#This Row],[Street Address]],FIND(" ",cleaned_data[[#This Row],[Street Address]])-1)</f>
        <v>6596</v>
      </c>
      <c r="O87" s="16">
        <f>raw_data[[#This Row],[Req Date]]</f>
        <v>41687</v>
      </c>
      <c r="P87" s="4">
        <f>YEAR(cleaned_data[[#This Row],[Req Date]])</f>
        <v>2014</v>
      </c>
      <c r="Q87" s="4">
        <f>MONTH(cleaned_data[[#This Row],[Req Date]])</f>
        <v>2</v>
      </c>
      <c r="R87" s="4">
        <f>DAY(cleaned_data[[#This Row],[Req Date]])</f>
        <v>17</v>
      </c>
    </row>
    <row r="88" spans="1:18" ht="15.6" x14ac:dyDescent="0.25">
      <c r="A88" s="4" t="str">
        <f>raw_data[[#This Row],[First Name]]</f>
        <v>Yvonne</v>
      </c>
      <c r="B88" s="4" t="str">
        <f>raw_data[[#This Row],[Last Name]]</f>
        <v>Rogers</v>
      </c>
      <c r="C88" s="4" t="str">
        <f>TRIM(cleaned_data[[#This Row],[First Name]]&amp; " "&amp;cleaned_data[[#This Row],[Last Name]])</f>
        <v>Yvonne Rogers</v>
      </c>
      <c r="D88" s="4" t="str">
        <f>raw_data[[#This Row],[Phone]]</f>
        <v>(771) 440-2812</v>
      </c>
      <c r="E88" s="4" t="str">
        <f>MID(cleaned_data[[#This Row],[Phone]],FIND("(",cleaned_data[[#This Row],[Phone]])+1,3)</f>
        <v>771</v>
      </c>
      <c r="F88" s="4" t="str">
        <f>RIGHT(SUBSTITUTE(cleaned_data[[#This Row],[Phone]],"-",""),7)</f>
        <v>4402812</v>
      </c>
      <c r="G88" s="4" t="str">
        <f>SUBSTITUTE(SUBSTITUTE(SUBSTITUTE(cleaned_data[[#This Row],[Phone]],"(",""),")","")," ","")</f>
        <v>771440-2812</v>
      </c>
      <c r="H88" s="4" t="str">
        <f>raw_data[[#This Row],[Street Address]]</f>
        <v>8892 Telegraph Rd.</v>
      </c>
      <c r="I88" s="4" t="str">
        <f>TRIM(MID(cleaned_data[[#This Row],[Street Address]],FIND(" ",cleaned_data[[#This Row],[Street Address]])+1,LEN(cleaned_data[[#This Row],[Street Address]])))</f>
        <v>Telegraph Rd.</v>
      </c>
      <c r="J88" s="15" t="str">
        <f>raw_data[[#This Row],[Zipcode]]</f>
        <v>58244</v>
      </c>
      <c r="K88" s="4" t="str">
        <f>cleaned_data[[#This Row],[Zipcode]]&amp;" - "&amp;cleaned_data[[#This Row],[Street Name]]</f>
        <v>58244 - Telegraph Rd.</v>
      </c>
      <c r="L88" s="4" t="str">
        <f>LEFT(cleaned_data[[#This Row],[First Name]],3)&amp;LEFT(cleaned_data[[#This Row],[Last Name]],3)&amp;cleaned_data[[#This Row],[Area Code]]</f>
        <v>YvoRog771</v>
      </c>
      <c r="M88" s="4" t="str">
        <f>SUBSTITUTE(cleaned_data[[#This Row],[Street Address]],"St.","Street")</f>
        <v>8892 Telegraph Rd.</v>
      </c>
      <c r="N88" s="4" t="str">
        <f>LEFT(cleaned_data[[#This Row],[Street Address]],FIND(" ",cleaned_data[[#This Row],[Street Address]])-1)</f>
        <v>8892</v>
      </c>
      <c r="O88" s="16">
        <f>raw_data[[#This Row],[Req Date]]</f>
        <v>41686</v>
      </c>
      <c r="P88" s="4">
        <f>YEAR(cleaned_data[[#This Row],[Req Date]])</f>
        <v>2014</v>
      </c>
      <c r="Q88" s="4">
        <f>MONTH(cleaned_data[[#This Row],[Req Date]])</f>
        <v>2</v>
      </c>
      <c r="R88" s="4">
        <f>DAY(cleaned_data[[#This Row],[Req Date]])</f>
        <v>16</v>
      </c>
    </row>
    <row r="89" spans="1:18" ht="15.6" x14ac:dyDescent="0.25">
      <c r="A89" s="4" t="str">
        <f>raw_data[[#This Row],[First Name]]</f>
        <v>Cora</v>
      </c>
      <c r="B89" s="4" t="str">
        <f>raw_data[[#This Row],[Last Name]]</f>
        <v>Shaffer</v>
      </c>
      <c r="C89" s="4" t="str">
        <f>TRIM(cleaned_data[[#This Row],[First Name]]&amp; " "&amp;cleaned_data[[#This Row],[Last Name]])</f>
        <v>Cora Shaffer</v>
      </c>
      <c r="D89" s="4" t="str">
        <f>raw_data[[#This Row],[Phone]]</f>
        <v>(285) 433-0608</v>
      </c>
      <c r="E89" s="4" t="str">
        <f>MID(cleaned_data[[#This Row],[Phone]],FIND("(",cleaned_data[[#This Row],[Phone]])+1,3)</f>
        <v>285</v>
      </c>
      <c r="F89" s="4" t="str">
        <f>RIGHT(SUBSTITUTE(cleaned_data[[#This Row],[Phone]],"-",""),7)</f>
        <v>4330608</v>
      </c>
      <c r="G89" s="4" t="str">
        <f>SUBSTITUTE(SUBSTITUTE(SUBSTITUTE(cleaned_data[[#This Row],[Phone]],"(",""),")","")," ","")</f>
        <v>285433-0608</v>
      </c>
      <c r="H89" s="4" t="str">
        <f>raw_data[[#This Row],[Street Address]]</f>
        <v>6659 Feugiat Road</v>
      </c>
      <c r="I89" s="4" t="str">
        <f>TRIM(MID(cleaned_data[[#This Row],[Street Address]],FIND(" ",cleaned_data[[#This Row],[Street Address]])+1,LEN(cleaned_data[[#This Row],[Street Address]])))</f>
        <v>Feugiat Road</v>
      </c>
      <c r="J89" s="15" t="str">
        <f>raw_data[[#This Row],[Zipcode]]</f>
        <v>59014</v>
      </c>
      <c r="K89" s="4" t="str">
        <f>cleaned_data[[#This Row],[Zipcode]]&amp;" - "&amp;cleaned_data[[#This Row],[Street Name]]</f>
        <v>59014 - Feugiat Road</v>
      </c>
      <c r="L89" s="4" t="str">
        <f>LEFT(cleaned_data[[#This Row],[First Name]],3)&amp;LEFT(cleaned_data[[#This Row],[Last Name]],3)&amp;cleaned_data[[#This Row],[Area Code]]</f>
        <v>CorSha285</v>
      </c>
      <c r="M89" s="4" t="str">
        <f>SUBSTITUTE(cleaned_data[[#This Row],[Street Address]],"St.","Street")</f>
        <v>6659 Feugiat Road</v>
      </c>
      <c r="N89" s="4" t="str">
        <f>LEFT(cleaned_data[[#This Row],[Street Address]],FIND(" ",cleaned_data[[#This Row],[Street Address]])-1)</f>
        <v>6659</v>
      </c>
      <c r="O89" s="16">
        <f>raw_data[[#This Row],[Req Date]]</f>
        <v>41671</v>
      </c>
      <c r="P89" s="4">
        <f>YEAR(cleaned_data[[#This Row],[Req Date]])</f>
        <v>2014</v>
      </c>
      <c r="Q89" s="4">
        <f>MONTH(cleaned_data[[#This Row],[Req Date]])</f>
        <v>2</v>
      </c>
      <c r="R89" s="4">
        <f>DAY(cleaned_data[[#This Row],[Req Date]])</f>
        <v>1</v>
      </c>
    </row>
    <row r="90" spans="1:18" ht="15.6" x14ac:dyDescent="0.25">
      <c r="A90" s="4" t="str">
        <f>raw_data[[#This Row],[First Name]]</f>
        <v>Zane</v>
      </c>
      <c r="B90" s="4" t="str">
        <f>raw_data[[#This Row],[Last Name]]</f>
        <v>Vance</v>
      </c>
      <c r="C90" s="4" t="str">
        <f>TRIM(cleaned_data[[#This Row],[First Name]]&amp; " "&amp;cleaned_data[[#This Row],[Last Name]])</f>
        <v>Zane Vance</v>
      </c>
      <c r="D90" s="4" t="str">
        <f>raw_data[[#This Row],[Phone]]</f>
        <v>(211) 320-1920</v>
      </c>
      <c r="E90" s="4" t="str">
        <f>MID(cleaned_data[[#This Row],[Phone]],FIND("(",cleaned_data[[#This Row],[Phone]])+1,3)</f>
        <v>211</v>
      </c>
      <c r="F90" s="4" t="str">
        <f>RIGHT(SUBSTITUTE(cleaned_data[[#This Row],[Phone]],"-",""),7)</f>
        <v>3201920</v>
      </c>
      <c r="G90" s="4" t="str">
        <f>SUBSTITUTE(SUBSTITUTE(SUBSTITUTE(cleaned_data[[#This Row],[Phone]],"(",""),")","")," ","")</f>
        <v>211320-1920</v>
      </c>
      <c r="H90" s="4" t="str">
        <f>raw_data[[#This Row],[Street Address]]</f>
        <v>7036 Library Rd.</v>
      </c>
      <c r="I90" s="4" t="str">
        <f>TRIM(MID(cleaned_data[[#This Row],[Street Address]],FIND(" ",cleaned_data[[#This Row],[Street Address]])+1,LEN(cleaned_data[[#This Row],[Street Address]])))</f>
        <v>Library Rd.</v>
      </c>
      <c r="J90" s="15" t="str">
        <f>raw_data[[#This Row],[Zipcode]]</f>
        <v>04040</v>
      </c>
      <c r="K90" s="4" t="str">
        <f>cleaned_data[[#This Row],[Zipcode]]&amp;" - "&amp;cleaned_data[[#This Row],[Street Name]]</f>
        <v>04040 - Library Rd.</v>
      </c>
      <c r="L90" s="4" t="str">
        <f>LEFT(cleaned_data[[#This Row],[First Name]],3)&amp;LEFT(cleaned_data[[#This Row],[Last Name]],3)&amp;cleaned_data[[#This Row],[Area Code]]</f>
        <v>ZanVan211</v>
      </c>
      <c r="M90" s="4" t="str">
        <f>SUBSTITUTE(cleaned_data[[#This Row],[Street Address]],"St.","Street")</f>
        <v>7036 Library Rd.</v>
      </c>
      <c r="N90" s="4" t="str">
        <f>LEFT(cleaned_data[[#This Row],[Street Address]],FIND(" ",cleaned_data[[#This Row],[Street Address]])-1)</f>
        <v>7036</v>
      </c>
      <c r="O90" s="16">
        <f>raw_data[[#This Row],[Req Date]]</f>
        <v>41663</v>
      </c>
      <c r="P90" s="4">
        <f>YEAR(cleaned_data[[#This Row],[Req Date]])</f>
        <v>2014</v>
      </c>
      <c r="Q90" s="4">
        <f>MONTH(cleaned_data[[#This Row],[Req Date]])</f>
        <v>1</v>
      </c>
      <c r="R90" s="4">
        <f>DAY(cleaned_data[[#This Row],[Req Date]])</f>
        <v>24</v>
      </c>
    </row>
    <row r="91" spans="1:18" ht="15.6" x14ac:dyDescent="0.25">
      <c r="A91" s="4" t="str">
        <f>raw_data[[#This Row],[First Name]]</f>
        <v>Thaddeus</v>
      </c>
      <c r="B91" s="4" t="str">
        <f>raw_data[[#This Row],[Last Name]]</f>
        <v>Long</v>
      </c>
      <c r="C91" s="4" t="str">
        <f>TRIM(cleaned_data[[#This Row],[First Name]]&amp; " "&amp;cleaned_data[[#This Row],[Last Name]])</f>
        <v>Thaddeus Long</v>
      </c>
      <c r="D91" s="4" t="str">
        <f>raw_data[[#This Row],[Phone]]</f>
        <v>(168) 512-4445</v>
      </c>
      <c r="E91" s="4" t="str">
        <f>MID(cleaned_data[[#This Row],[Phone]],FIND("(",cleaned_data[[#This Row],[Phone]])+1,3)</f>
        <v>168</v>
      </c>
      <c r="F91" s="4" t="str">
        <f>RIGHT(SUBSTITUTE(cleaned_data[[#This Row],[Phone]],"-",""),7)</f>
        <v>5124445</v>
      </c>
      <c r="G91" s="4" t="str">
        <f>SUBSTITUTE(SUBSTITUTE(SUBSTITUTE(cleaned_data[[#This Row],[Phone]],"(",""),")","")," ","")</f>
        <v>168512-4445</v>
      </c>
      <c r="H91" s="4" t="str">
        <f>raw_data[[#This Row],[Street Address]]</f>
        <v>6464 Donec Ave.</v>
      </c>
      <c r="I91" s="4" t="str">
        <f>TRIM(MID(cleaned_data[[#This Row],[Street Address]],FIND(" ",cleaned_data[[#This Row],[Street Address]])+1,LEN(cleaned_data[[#This Row],[Street Address]])))</f>
        <v>Donec Ave.</v>
      </c>
      <c r="J91" s="15" t="str">
        <f>raw_data[[#This Row],[Zipcode]]</f>
        <v>59016</v>
      </c>
      <c r="K91" s="4" t="str">
        <f>cleaned_data[[#This Row],[Zipcode]]&amp;" - "&amp;cleaned_data[[#This Row],[Street Name]]</f>
        <v>59016 - Donec Ave.</v>
      </c>
      <c r="L91" s="4" t="str">
        <f>LEFT(cleaned_data[[#This Row],[First Name]],3)&amp;LEFT(cleaned_data[[#This Row],[Last Name]],3)&amp;cleaned_data[[#This Row],[Area Code]]</f>
        <v>ThaLon168</v>
      </c>
      <c r="M91" s="4" t="str">
        <f>SUBSTITUTE(cleaned_data[[#This Row],[Street Address]],"St.","Street")</f>
        <v>6464 Donec Ave.</v>
      </c>
      <c r="N91" s="4" t="str">
        <f>LEFT(cleaned_data[[#This Row],[Street Address]],FIND(" ",cleaned_data[[#This Row],[Street Address]])-1)</f>
        <v>6464</v>
      </c>
      <c r="O91" s="16">
        <f>raw_data[[#This Row],[Req Date]]</f>
        <v>41662</v>
      </c>
      <c r="P91" s="4">
        <f>YEAR(cleaned_data[[#This Row],[Req Date]])</f>
        <v>2014</v>
      </c>
      <c r="Q91" s="4">
        <f>MONTH(cleaned_data[[#This Row],[Req Date]])</f>
        <v>1</v>
      </c>
      <c r="R91" s="4">
        <f>DAY(cleaned_data[[#This Row],[Req Date]])</f>
        <v>23</v>
      </c>
    </row>
    <row r="92" spans="1:18" ht="15.6" x14ac:dyDescent="0.25">
      <c r="A92" s="4" t="str">
        <f>raw_data[[#This Row],[First Name]]</f>
        <v>Raphael</v>
      </c>
      <c r="B92" s="4" t="str">
        <f>raw_data[[#This Row],[Last Name]]</f>
        <v>Stevens</v>
      </c>
      <c r="C92" s="4" t="str">
        <f>TRIM(cleaned_data[[#This Row],[First Name]]&amp; " "&amp;cleaned_data[[#This Row],[Last Name]])</f>
        <v>Raphael Stevens</v>
      </c>
      <c r="D92" s="4" t="str">
        <f>raw_data[[#This Row],[Phone]]</f>
        <v>(221) 704-6746</v>
      </c>
      <c r="E92" s="4" t="str">
        <f>MID(cleaned_data[[#This Row],[Phone]],FIND("(",cleaned_data[[#This Row],[Phone]])+1,3)</f>
        <v>221</v>
      </c>
      <c r="F92" s="4" t="str">
        <f>RIGHT(SUBSTITUTE(cleaned_data[[#This Row],[Phone]],"-",""),7)</f>
        <v>7046746</v>
      </c>
      <c r="G92" s="4" t="str">
        <f>SUBSTITUTE(SUBSTITUTE(SUBSTITUTE(cleaned_data[[#This Row],[Phone]],"(",""),")","")," ","")</f>
        <v>221704-6746</v>
      </c>
      <c r="H92" s="4" t="str">
        <f>raw_data[[#This Row],[Street Address]]</f>
        <v>5474 Calle 44</v>
      </c>
      <c r="I92" s="4" t="str">
        <f>TRIM(MID(cleaned_data[[#This Row],[Street Address]],FIND(" ",cleaned_data[[#This Row],[Street Address]])+1,LEN(cleaned_data[[#This Row],[Street Address]])))</f>
        <v>Calle 44</v>
      </c>
      <c r="J92" s="15" t="str">
        <f>raw_data[[#This Row],[Zipcode]]</f>
        <v>60020</v>
      </c>
      <c r="K92" s="4" t="str">
        <f>cleaned_data[[#This Row],[Zipcode]]&amp;" - "&amp;cleaned_data[[#This Row],[Street Name]]</f>
        <v>60020 - Calle 44</v>
      </c>
      <c r="L92" s="4" t="str">
        <f>LEFT(cleaned_data[[#This Row],[First Name]],3)&amp;LEFT(cleaned_data[[#This Row],[Last Name]],3)&amp;cleaned_data[[#This Row],[Area Code]]</f>
        <v>RapSte221</v>
      </c>
      <c r="M92" s="4" t="str">
        <f>SUBSTITUTE(cleaned_data[[#This Row],[Street Address]],"St.","Street")</f>
        <v>5474 Calle 44</v>
      </c>
      <c r="N92" s="4" t="str">
        <f>LEFT(cleaned_data[[#This Row],[Street Address]],FIND(" ",cleaned_data[[#This Row],[Street Address]])-1)</f>
        <v>5474</v>
      </c>
      <c r="O92" s="16">
        <f>raw_data[[#This Row],[Req Date]]</f>
        <v>41637</v>
      </c>
      <c r="P92" s="4">
        <f>YEAR(cleaned_data[[#This Row],[Req Date]])</f>
        <v>2013</v>
      </c>
      <c r="Q92" s="4">
        <f>MONTH(cleaned_data[[#This Row],[Req Date]])</f>
        <v>12</v>
      </c>
      <c r="R92" s="4">
        <f>DAY(cleaned_data[[#This Row],[Req Date]])</f>
        <v>29</v>
      </c>
    </row>
    <row r="93" spans="1:18" ht="15.6" x14ac:dyDescent="0.25">
      <c r="A93" s="4" t="str">
        <f>raw_data[[#This Row],[First Name]]</f>
        <v>Amy</v>
      </c>
      <c r="B93" s="4" t="str">
        <f>raw_data[[#This Row],[Last Name]]</f>
        <v>Weber</v>
      </c>
      <c r="C93" s="4" t="str">
        <f>TRIM(cleaned_data[[#This Row],[First Name]]&amp; " "&amp;cleaned_data[[#This Row],[Last Name]])</f>
        <v>Amy Weber</v>
      </c>
      <c r="D93" s="4" t="str">
        <f>raw_data[[#This Row],[Phone]]</f>
        <v>(461) 307-4296</v>
      </c>
      <c r="E93" s="4" t="str">
        <f>MID(cleaned_data[[#This Row],[Phone]],FIND("(",cleaned_data[[#This Row],[Phone]])+1,3)</f>
        <v>461</v>
      </c>
      <c r="F93" s="4" t="str">
        <f>RIGHT(SUBSTITUTE(cleaned_data[[#This Row],[Phone]],"-",""),7)</f>
        <v>3074296</v>
      </c>
      <c r="G93" s="4" t="str">
        <f>SUBSTITUTE(SUBSTITUTE(SUBSTITUTE(cleaned_data[[#This Row],[Phone]],"(",""),")","")," ","")</f>
        <v>461307-4296</v>
      </c>
      <c r="H93" s="4" t="str">
        <f>raw_data[[#This Row],[Street Address]]</f>
        <v>2943 Quis Ave.</v>
      </c>
      <c r="I93" s="4" t="str">
        <f>TRIM(MID(cleaned_data[[#This Row],[Street Address]],FIND(" ",cleaned_data[[#This Row],[Street Address]])+1,LEN(cleaned_data[[#This Row],[Street Address]])))</f>
        <v>Quis Ave.</v>
      </c>
      <c r="J93" s="15" t="str">
        <f>raw_data[[#This Row],[Zipcode]]</f>
        <v>60151</v>
      </c>
      <c r="K93" s="4" t="str">
        <f>cleaned_data[[#This Row],[Zipcode]]&amp;" - "&amp;cleaned_data[[#This Row],[Street Name]]</f>
        <v>60151 - Quis Ave.</v>
      </c>
      <c r="L93" s="4" t="str">
        <f>LEFT(cleaned_data[[#This Row],[First Name]],3)&amp;LEFT(cleaned_data[[#This Row],[Last Name]],3)&amp;cleaned_data[[#This Row],[Area Code]]</f>
        <v>AmyWeb461</v>
      </c>
      <c r="M93" s="4" t="str">
        <f>SUBSTITUTE(cleaned_data[[#This Row],[Street Address]],"St.","Street")</f>
        <v>2943 Quis Ave.</v>
      </c>
      <c r="N93" s="4" t="str">
        <f>LEFT(cleaned_data[[#This Row],[Street Address]],FIND(" ",cleaned_data[[#This Row],[Street Address]])-1)</f>
        <v>2943</v>
      </c>
      <c r="O93" s="16">
        <f>raw_data[[#This Row],[Req Date]]</f>
        <v>41619</v>
      </c>
      <c r="P93" s="4">
        <f>YEAR(cleaned_data[[#This Row],[Req Date]])</f>
        <v>2013</v>
      </c>
      <c r="Q93" s="4">
        <f>MONTH(cleaned_data[[#This Row],[Req Date]])</f>
        <v>12</v>
      </c>
      <c r="R93" s="4">
        <f>DAY(cleaned_data[[#This Row],[Req Date]])</f>
        <v>11</v>
      </c>
    </row>
    <row r="94" spans="1:18" ht="15.6" x14ac:dyDescent="0.25">
      <c r="A94" s="4" t="str">
        <f>raw_data[[#This Row],[First Name]]</f>
        <v>Cruz</v>
      </c>
      <c r="B94" s="4" t="str">
        <f>raw_data[[#This Row],[Last Name]]</f>
        <v>Vargas</v>
      </c>
      <c r="C94" s="4" t="str">
        <f>TRIM(cleaned_data[[#This Row],[First Name]]&amp; " "&amp;cleaned_data[[#This Row],[Last Name]])</f>
        <v>Cruz Vargas</v>
      </c>
      <c r="D94" s="4" t="str">
        <f>raw_data[[#This Row],[Phone]]</f>
        <v>(650) 726-6513</v>
      </c>
      <c r="E94" s="4" t="str">
        <f>MID(cleaned_data[[#This Row],[Phone]],FIND("(",cleaned_data[[#This Row],[Phone]])+1,3)</f>
        <v>650</v>
      </c>
      <c r="F94" s="4" t="str">
        <f>RIGHT(SUBSTITUTE(cleaned_data[[#This Row],[Phone]],"-",""),7)</f>
        <v>7266513</v>
      </c>
      <c r="G94" s="4" t="str">
        <f>SUBSTITUTE(SUBSTITUTE(SUBSTITUTE(cleaned_data[[#This Row],[Phone]],"(",""),")","")," ","")</f>
        <v>650726-6513</v>
      </c>
      <c r="H94" s="4" t="str">
        <f>raw_data[[#This Row],[Street Address]]</f>
        <v>8059 Dogleg Road</v>
      </c>
      <c r="I94" s="4" t="str">
        <f>TRIM(MID(cleaned_data[[#This Row],[Street Address]],FIND(" ",cleaned_data[[#This Row],[Street Address]])+1,LEN(cleaned_data[[#This Row],[Street Address]])))</f>
        <v>Dogleg Road</v>
      </c>
      <c r="J94" s="15" t="str">
        <f>raw_data[[#This Row],[Zipcode]]</f>
        <v>59020</v>
      </c>
      <c r="K94" s="4" t="str">
        <f>cleaned_data[[#This Row],[Zipcode]]&amp;" - "&amp;cleaned_data[[#This Row],[Street Name]]</f>
        <v>59020 - Dogleg Road</v>
      </c>
      <c r="L94" s="4" t="str">
        <f>LEFT(cleaned_data[[#This Row],[First Name]],3)&amp;LEFT(cleaned_data[[#This Row],[Last Name]],3)&amp;cleaned_data[[#This Row],[Area Code]]</f>
        <v>CruVar650</v>
      </c>
      <c r="M94" s="4" t="str">
        <f>SUBSTITUTE(cleaned_data[[#This Row],[Street Address]],"St.","Street")</f>
        <v>8059 Dogleg Road</v>
      </c>
      <c r="N94" s="4" t="str">
        <f>LEFT(cleaned_data[[#This Row],[Street Address]],FIND(" ",cleaned_data[[#This Row],[Street Address]])-1)</f>
        <v>8059</v>
      </c>
      <c r="O94" s="16">
        <f>raw_data[[#This Row],[Req Date]]</f>
        <v>41689</v>
      </c>
      <c r="P94" s="4">
        <f>YEAR(cleaned_data[[#This Row],[Req Date]])</f>
        <v>2014</v>
      </c>
      <c r="Q94" s="4">
        <f>MONTH(cleaned_data[[#This Row],[Req Date]])</f>
        <v>2</v>
      </c>
      <c r="R94" s="4">
        <f>DAY(cleaned_data[[#This Row],[Req Date]])</f>
        <v>19</v>
      </c>
    </row>
    <row r="95" spans="1:18" ht="15.6" x14ac:dyDescent="0.25">
      <c r="A95" s="4" t="str">
        <f>raw_data[[#This Row],[First Name]]</f>
        <v>Hedda</v>
      </c>
      <c r="B95" s="4" t="str">
        <f>raw_data[[#This Row],[Last Name]]</f>
        <v>Hood</v>
      </c>
      <c r="C95" s="4" t="str">
        <f>TRIM(cleaned_data[[#This Row],[First Name]]&amp; " "&amp;cleaned_data[[#This Row],[Last Name]])</f>
        <v>Hedda Hood</v>
      </c>
      <c r="D95" s="4" t="str">
        <f>raw_data[[#This Row],[Phone]]</f>
        <v>(602) 553-9695</v>
      </c>
      <c r="E95" s="4" t="str">
        <f>MID(cleaned_data[[#This Row],[Phone]],FIND("(",cleaned_data[[#This Row],[Phone]])+1,3)</f>
        <v>602</v>
      </c>
      <c r="F95" s="4" t="str">
        <f>RIGHT(SUBSTITUTE(cleaned_data[[#This Row],[Phone]],"-",""),7)</f>
        <v>5539695</v>
      </c>
      <c r="G95" s="4" t="str">
        <f>SUBSTITUTE(SUBSTITUTE(SUBSTITUTE(cleaned_data[[#This Row],[Phone]],"(",""),")","")," ","")</f>
        <v>602553-9695</v>
      </c>
      <c r="H95" s="4" t="str">
        <f>raw_data[[#This Row],[Street Address]]</f>
        <v>3812 Ute Ave.</v>
      </c>
      <c r="I95" s="4" t="str">
        <f>TRIM(MID(cleaned_data[[#This Row],[Street Address]],FIND(" ",cleaned_data[[#This Row],[Street Address]])+1,LEN(cleaned_data[[#This Row],[Street Address]])))</f>
        <v>Ute Ave.</v>
      </c>
      <c r="J95" s="15" t="str">
        <f>raw_data[[#This Row],[Zipcode]]</f>
        <v>59022</v>
      </c>
      <c r="K95" s="4" t="str">
        <f>cleaned_data[[#This Row],[Zipcode]]&amp;" - "&amp;cleaned_data[[#This Row],[Street Name]]</f>
        <v>59022 - Ute Ave.</v>
      </c>
      <c r="L95" s="4" t="str">
        <f>LEFT(cleaned_data[[#This Row],[First Name]],3)&amp;LEFT(cleaned_data[[#This Row],[Last Name]],3)&amp;cleaned_data[[#This Row],[Area Code]]</f>
        <v>HedHoo602</v>
      </c>
      <c r="M95" s="4" t="str">
        <f>SUBSTITUTE(cleaned_data[[#This Row],[Street Address]],"St.","Street")</f>
        <v>3812 Ute Ave.</v>
      </c>
      <c r="N95" s="4" t="str">
        <f>LEFT(cleaned_data[[#This Row],[Street Address]],FIND(" ",cleaned_data[[#This Row],[Street Address]])-1)</f>
        <v>3812</v>
      </c>
      <c r="O95" s="16">
        <f>raw_data[[#This Row],[Req Date]]</f>
        <v>41631</v>
      </c>
      <c r="P95" s="4">
        <f>YEAR(cleaned_data[[#This Row],[Req Date]])</f>
        <v>2013</v>
      </c>
      <c r="Q95" s="4">
        <f>MONTH(cleaned_data[[#This Row],[Req Date]])</f>
        <v>12</v>
      </c>
      <c r="R95" s="4">
        <f>DAY(cleaned_data[[#This Row],[Req Date]])</f>
        <v>23</v>
      </c>
    </row>
    <row r="96" spans="1:18" ht="15.6" x14ac:dyDescent="0.25">
      <c r="A96" s="4" t="str">
        <f>raw_data[[#This Row],[First Name]]</f>
        <v>Fletcher</v>
      </c>
      <c r="B96" s="4" t="str">
        <f>raw_data[[#This Row],[Last Name]]</f>
        <v>Justice</v>
      </c>
      <c r="C96" s="4" t="str">
        <f>TRIM(cleaned_data[[#This Row],[First Name]]&amp; " "&amp;cleaned_data[[#This Row],[Last Name]])</f>
        <v>Fletcher Justice</v>
      </c>
      <c r="D96" s="4" t="str">
        <f>raw_data[[#This Row],[Phone]]</f>
        <v>(689) 180-2638</v>
      </c>
      <c r="E96" s="4" t="str">
        <f>MID(cleaned_data[[#This Row],[Phone]],FIND("(",cleaned_data[[#This Row],[Phone]])+1,3)</f>
        <v>689</v>
      </c>
      <c r="F96" s="4" t="str">
        <f>RIGHT(SUBSTITUTE(cleaned_data[[#This Row],[Phone]],"-",""),7)</f>
        <v>1802638</v>
      </c>
      <c r="G96" s="4" t="str">
        <f>SUBSTITUTE(SUBSTITUTE(SUBSTITUTE(cleaned_data[[#This Row],[Phone]],"(",""),")","")," ","")</f>
        <v>689180-2638</v>
      </c>
      <c r="H96" s="4" t="str">
        <f>raw_data[[#This Row],[Street Address]]</f>
        <v>255 Primis Rd.</v>
      </c>
      <c r="I96" s="4" t="str">
        <f>TRIM(MID(cleaned_data[[#This Row],[Street Address]],FIND(" ",cleaned_data[[#This Row],[Street Address]])+1,LEN(cleaned_data[[#This Row],[Street Address]])))</f>
        <v>Primis Rd.</v>
      </c>
      <c r="J96" s="15" t="str">
        <f>raw_data[[#This Row],[Zipcode]]</f>
        <v>60014</v>
      </c>
      <c r="K96" s="4" t="str">
        <f>cleaned_data[[#This Row],[Zipcode]]&amp;" - "&amp;cleaned_data[[#This Row],[Street Name]]</f>
        <v>60014 - Primis Rd.</v>
      </c>
      <c r="L96" s="4" t="str">
        <f>LEFT(cleaned_data[[#This Row],[First Name]],3)&amp;LEFT(cleaned_data[[#This Row],[Last Name]],3)&amp;cleaned_data[[#This Row],[Area Code]]</f>
        <v>FleJus689</v>
      </c>
      <c r="M96" s="4" t="str">
        <f>SUBSTITUTE(cleaned_data[[#This Row],[Street Address]],"St.","Street")</f>
        <v>255 Primis Rd.</v>
      </c>
      <c r="N96" s="4" t="str">
        <f>LEFT(cleaned_data[[#This Row],[Street Address]],FIND(" ",cleaned_data[[#This Row],[Street Address]])-1)</f>
        <v>255</v>
      </c>
      <c r="O96" s="16">
        <f>raw_data[[#This Row],[Req Date]]</f>
        <v>41682</v>
      </c>
      <c r="P96" s="4">
        <f>YEAR(cleaned_data[[#This Row],[Req Date]])</f>
        <v>2014</v>
      </c>
      <c r="Q96" s="4">
        <f>MONTH(cleaned_data[[#This Row],[Req Date]])</f>
        <v>2</v>
      </c>
      <c r="R96" s="4">
        <f>DAY(cleaned_data[[#This Row],[Req Date]])</f>
        <v>12</v>
      </c>
    </row>
    <row r="97" spans="1:18" ht="15.6" x14ac:dyDescent="0.25">
      <c r="A97" s="4" t="str">
        <f>raw_data[[#This Row],[First Name]]</f>
        <v>Yoko</v>
      </c>
      <c r="B97" s="4" t="str">
        <f>raw_data[[#This Row],[Last Name]]</f>
        <v>Alston</v>
      </c>
      <c r="C97" s="4" t="str">
        <f>TRIM(cleaned_data[[#This Row],[First Name]]&amp; " "&amp;cleaned_data[[#This Row],[Last Name]])</f>
        <v>Yoko Alston</v>
      </c>
      <c r="D97" s="4" t="str">
        <f>raw_data[[#This Row],[Phone]]</f>
        <v>(295) 104-2501</v>
      </c>
      <c r="E97" s="4" t="str">
        <f>MID(cleaned_data[[#This Row],[Phone]],FIND("(",cleaned_data[[#This Row],[Phone]])+1,3)</f>
        <v>295</v>
      </c>
      <c r="F97" s="4" t="str">
        <f>RIGHT(SUBSTITUTE(cleaned_data[[#This Row],[Phone]],"-",""),7)</f>
        <v>1042501</v>
      </c>
      <c r="G97" s="4" t="str">
        <f>SUBSTITUTE(SUBSTITUTE(SUBSTITUTE(cleaned_data[[#This Row],[Phone]],"(",""),")","")," ","")</f>
        <v>295104-2501</v>
      </c>
      <c r="H97" s="4" t="str">
        <f>raw_data[[#This Row],[Street Address]]</f>
        <v>5366 Parturient St.</v>
      </c>
      <c r="I97" s="4" t="str">
        <f>TRIM(MID(cleaned_data[[#This Row],[Street Address]],FIND(" ",cleaned_data[[#This Row],[Street Address]])+1,LEN(cleaned_data[[#This Row],[Street Address]])))</f>
        <v>Parturient St.</v>
      </c>
      <c r="J97" s="15" t="str">
        <f>raw_data[[#This Row],[Zipcode]]</f>
        <v>60015</v>
      </c>
      <c r="K97" s="4" t="str">
        <f>cleaned_data[[#This Row],[Zipcode]]&amp;" - "&amp;cleaned_data[[#This Row],[Street Name]]</f>
        <v>60015 - Parturient St.</v>
      </c>
      <c r="L97" s="4" t="str">
        <f>LEFT(cleaned_data[[#This Row],[First Name]],3)&amp;LEFT(cleaned_data[[#This Row],[Last Name]],3)&amp;cleaned_data[[#This Row],[Area Code]]</f>
        <v>YokAls295</v>
      </c>
      <c r="M97" s="4" t="str">
        <f>SUBSTITUTE(cleaned_data[[#This Row],[Street Address]],"St.","Street")</f>
        <v>5366 Parturient Street</v>
      </c>
      <c r="N97" s="4" t="str">
        <f>LEFT(cleaned_data[[#This Row],[Street Address]],FIND(" ",cleaned_data[[#This Row],[Street Address]])-1)</f>
        <v>5366</v>
      </c>
      <c r="O97" s="16">
        <f>raw_data[[#This Row],[Req Date]]</f>
        <v>41624</v>
      </c>
      <c r="P97" s="4">
        <f>YEAR(cleaned_data[[#This Row],[Req Date]])</f>
        <v>2013</v>
      </c>
      <c r="Q97" s="4">
        <f>MONTH(cleaned_data[[#This Row],[Req Date]])</f>
        <v>12</v>
      </c>
      <c r="R97" s="4">
        <f>DAY(cleaned_data[[#This Row],[Req Date]])</f>
        <v>16</v>
      </c>
    </row>
    <row r="98" spans="1:18" ht="15.6" x14ac:dyDescent="0.25">
      <c r="A98" s="4" t="str">
        <f>raw_data[[#This Row],[First Name]]</f>
        <v>Matthew</v>
      </c>
      <c r="B98" s="4" t="str">
        <f>raw_data[[#This Row],[Last Name]]</f>
        <v>Turner</v>
      </c>
      <c r="C98" s="4" t="str">
        <f>TRIM(cleaned_data[[#This Row],[First Name]]&amp; " "&amp;cleaned_data[[#This Row],[Last Name]])</f>
        <v>Matthew Turner</v>
      </c>
      <c r="D98" s="4" t="str">
        <f>raw_data[[#This Row],[Phone]]</f>
        <v>(686) 673-3445</v>
      </c>
      <c r="E98" s="4" t="str">
        <f>MID(cleaned_data[[#This Row],[Phone]],FIND("(",cleaned_data[[#This Row],[Phone]])+1,3)</f>
        <v>686</v>
      </c>
      <c r="F98" s="4" t="str">
        <f>RIGHT(SUBSTITUTE(cleaned_data[[#This Row],[Phone]],"-",""),7)</f>
        <v>6733445</v>
      </c>
      <c r="G98" s="4" t="str">
        <f>SUBSTITUTE(SUBSTITUTE(SUBSTITUTE(cleaned_data[[#This Row],[Phone]],"(",""),")","")," ","")</f>
        <v>686673-3445</v>
      </c>
      <c r="H98" s="4" t="str">
        <f>raw_data[[#This Row],[Street Address]]</f>
        <v>3800 Nullam Ave.</v>
      </c>
      <c r="I98" s="4" t="str">
        <f>TRIM(MID(cleaned_data[[#This Row],[Street Address]],FIND(" ",cleaned_data[[#This Row],[Street Address]])+1,LEN(cleaned_data[[#This Row],[Street Address]])))</f>
        <v>Nullam Ave.</v>
      </c>
      <c r="J98" s="15" t="str">
        <f>raw_data[[#This Row],[Zipcode]]</f>
        <v>60016</v>
      </c>
      <c r="K98" s="4" t="str">
        <f>cleaned_data[[#This Row],[Zipcode]]&amp;" - "&amp;cleaned_data[[#This Row],[Street Name]]</f>
        <v>60016 - Nullam Ave.</v>
      </c>
      <c r="L98" s="4" t="str">
        <f>LEFT(cleaned_data[[#This Row],[First Name]],3)&amp;LEFT(cleaned_data[[#This Row],[Last Name]],3)&amp;cleaned_data[[#This Row],[Area Code]]</f>
        <v>MatTur686</v>
      </c>
      <c r="M98" s="4" t="str">
        <f>SUBSTITUTE(cleaned_data[[#This Row],[Street Address]],"St.","Street")</f>
        <v>3800 Nullam Ave.</v>
      </c>
      <c r="N98" s="4" t="str">
        <f>LEFT(cleaned_data[[#This Row],[Street Address]],FIND(" ",cleaned_data[[#This Row],[Street Address]])-1)</f>
        <v>3800</v>
      </c>
      <c r="O98" s="16">
        <f>raw_data[[#This Row],[Req Date]]</f>
        <v>41687</v>
      </c>
      <c r="P98" s="4">
        <f>YEAR(cleaned_data[[#This Row],[Req Date]])</f>
        <v>2014</v>
      </c>
      <c r="Q98" s="4">
        <f>MONTH(cleaned_data[[#This Row],[Req Date]])</f>
        <v>2</v>
      </c>
      <c r="R98" s="4">
        <f>DAY(cleaned_data[[#This Row],[Req Date]])</f>
        <v>17</v>
      </c>
    </row>
    <row r="99" spans="1:18" ht="15.6" x14ac:dyDescent="0.25">
      <c r="A99" s="4" t="str">
        <f>raw_data[[#This Row],[First Name]]</f>
        <v>Aladdin</v>
      </c>
      <c r="B99" s="4" t="str">
        <f>raw_data[[#This Row],[Last Name]]</f>
        <v>Hopper</v>
      </c>
      <c r="C99" s="4" t="str">
        <f>TRIM(cleaned_data[[#This Row],[First Name]]&amp; " "&amp;cleaned_data[[#This Row],[Last Name]])</f>
        <v>Aladdin Hopper</v>
      </c>
      <c r="D99" s="4" t="str">
        <f>raw_data[[#This Row],[Phone]]</f>
        <v>(159) 395-8617</v>
      </c>
      <c r="E99" s="4" t="str">
        <f>MID(cleaned_data[[#This Row],[Phone]],FIND("(",cleaned_data[[#This Row],[Phone]])+1,3)</f>
        <v>159</v>
      </c>
      <c r="F99" s="4" t="str">
        <f>RIGHT(SUBSTITUTE(cleaned_data[[#This Row],[Phone]],"-",""),7)</f>
        <v>3958617</v>
      </c>
      <c r="G99" s="4" t="str">
        <f>SUBSTITUTE(SUBSTITUTE(SUBSTITUTE(cleaned_data[[#This Row],[Phone]],"(",""),")","")," ","")</f>
        <v>159395-8617</v>
      </c>
      <c r="H99" s="4" t="str">
        <f>raw_data[[#This Row],[Street Address]]</f>
        <v>1222 Magnis Ave.</v>
      </c>
      <c r="I99" s="4" t="str">
        <f>TRIM(MID(cleaned_data[[#This Row],[Street Address]],FIND(" ",cleaned_data[[#This Row],[Street Address]])+1,LEN(cleaned_data[[#This Row],[Street Address]])))</f>
        <v>Magnis Ave.</v>
      </c>
      <c r="J99" s="15" t="str">
        <f>raw_data[[#This Row],[Zipcode]]</f>
        <v>64456</v>
      </c>
      <c r="K99" s="4" t="str">
        <f>cleaned_data[[#This Row],[Zipcode]]&amp;" - "&amp;cleaned_data[[#This Row],[Street Name]]</f>
        <v>64456 - Magnis Ave.</v>
      </c>
      <c r="L99" s="4" t="str">
        <f>LEFT(cleaned_data[[#This Row],[First Name]],3)&amp;LEFT(cleaned_data[[#This Row],[Last Name]],3)&amp;cleaned_data[[#This Row],[Area Code]]</f>
        <v>AlaHop159</v>
      </c>
      <c r="M99" s="4" t="str">
        <f>SUBSTITUTE(cleaned_data[[#This Row],[Street Address]],"St.","Street")</f>
        <v>1222 Magnis Ave.</v>
      </c>
      <c r="N99" s="4" t="str">
        <f>LEFT(cleaned_data[[#This Row],[Street Address]],FIND(" ",cleaned_data[[#This Row],[Street Address]])-1)</f>
        <v>1222</v>
      </c>
      <c r="O99" s="16">
        <f>raw_data[[#This Row],[Req Date]]</f>
        <v>41673</v>
      </c>
      <c r="P99" s="4">
        <f>YEAR(cleaned_data[[#This Row],[Req Date]])</f>
        <v>2014</v>
      </c>
      <c r="Q99" s="4">
        <f>MONTH(cleaned_data[[#This Row],[Req Date]])</f>
        <v>2</v>
      </c>
      <c r="R99" s="4">
        <f>DAY(cleaned_data[[#This Row],[Req Date]])</f>
        <v>3</v>
      </c>
    </row>
    <row r="100" spans="1:18" ht="15.6" x14ac:dyDescent="0.25">
      <c r="A100" s="4" t="str">
        <f>raw_data[[#This Row],[First Name]]</f>
        <v>Bertha</v>
      </c>
      <c r="B100" s="4" t="str">
        <f>raw_data[[#This Row],[Last Name]]</f>
        <v>Pate</v>
      </c>
      <c r="C100" s="4" t="str">
        <f>TRIM(cleaned_data[[#This Row],[First Name]]&amp; " "&amp;cleaned_data[[#This Row],[Last Name]])</f>
        <v>Bertha Pate</v>
      </c>
      <c r="D100" s="4" t="str">
        <f>raw_data[[#This Row],[Phone]]</f>
        <v>(278) 224-1356</v>
      </c>
      <c r="E100" s="4" t="str">
        <f>MID(cleaned_data[[#This Row],[Phone]],FIND("(",cleaned_data[[#This Row],[Phone]])+1,3)</f>
        <v>278</v>
      </c>
      <c r="F100" s="4" t="str">
        <f>RIGHT(SUBSTITUTE(cleaned_data[[#This Row],[Phone]],"-",""),7)</f>
        <v>2241356</v>
      </c>
      <c r="G100" s="4" t="str">
        <f>SUBSTITUTE(SUBSTITUTE(SUBSTITUTE(cleaned_data[[#This Row],[Phone]],"(",""),")","")," ","")</f>
        <v>278224-1356</v>
      </c>
      <c r="H100" s="4" t="str">
        <f>raw_data[[#This Row],[Street Address]]</f>
        <v>5759 Palladium Ave.</v>
      </c>
      <c r="I100" s="4" t="str">
        <f>TRIM(MID(cleaned_data[[#This Row],[Street Address]],FIND(" ",cleaned_data[[#This Row],[Street Address]])+1,LEN(cleaned_data[[#This Row],[Street Address]])))</f>
        <v>Palladium Ave.</v>
      </c>
      <c r="J100" s="15" t="str">
        <f>raw_data[[#This Row],[Zipcode]]</f>
        <v>64457</v>
      </c>
      <c r="K100" s="4" t="str">
        <f>cleaned_data[[#This Row],[Zipcode]]&amp;" - "&amp;cleaned_data[[#This Row],[Street Name]]</f>
        <v>64457 - Palladium Ave.</v>
      </c>
      <c r="L100" s="4" t="str">
        <f>LEFT(cleaned_data[[#This Row],[First Name]],3)&amp;LEFT(cleaned_data[[#This Row],[Last Name]],3)&amp;cleaned_data[[#This Row],[Area Code]]</f>
        <v>BerPat278</v>
      </c>
      <c r="M100" s="4" t="str">
        <f>SUBSTITUTE(cleaned_data[[#This Row],[Street Address]],"St.","Street")</f>
        <v>5759 Palladium Ave.</v>
      </c>
      <c r="N100" s="4" t="str">
        <f>LEFT(cleaned_data[[#This Row],[Street Address]],FIND(" ",cleaned_data[[#This Row],[Street Address]])-1)</f>
        <v>5759</v>
      </c>
      <c r="O100" s="16">
        <f>raw_data[[#This Row],[Req Date]]</f>
        <v>41612</v>
      </c>
      <c r="P100" s="4">
        <f>YEAR(cleaned_data[[#This Row],[Req Date]])</f>
        <v>2013</v>
      </c>
      <c r="Q100" s="4">
        <f>MONTH(cleaned_data[[#This Row],[Req Date]])</f>
        <v>12</v>
      </c>
      <c r="R100" s="4">
        <f>DAY(cleaned_data[[#This Row],[Req Date]])</f>
        <v>4</v>
      </c>
    </row>
    <row r="101" spans="1:18" ht="15.6" x14ac:dyDescent="0.25">
      <c r="A101" s="4" t="str">
        <f>raw_data[[#This Row],[First Name]]</f>
        <v>Alexandra</v>
      </c>
      <c r="B101" s="4" t="str">
        <f>raw_data[[#This Row],[Last Name]]</f>
        <v>Faulkner</v>
      </c>
      <c r="C101" s="4" t="str">
        <f>TRIM(cleaned_data[[#This Row],[First Name]]&amp; " "&amp;cleaned_data[[#This Row],[Last Name]])</f>
        <v>Alexandra Faulkner</v>
      </c>
      <c r="D101" s="4" t="str">
        <f>raw_data[[#This Row],[Phone]]</f>
        <v>(645) 959-6914</v>
      </c>
      <c r="E101" s="4" t="str">
        <f>MID(cleaned_data[[#This Row],[Phone]],FIND("(",cleaned_data[[#This Row],[Phone]])+1,3)</f>
        <v>645</v>
      </c>
      <c r="F101" s="4" t="str">
        <f>RIGHT(SUBSTITUTE(cleaned_data[[#This Row],[Phone]],"-",""),7)</f>
        <v>9596914</v>
      </c>
      <c r="G101" s="4" t="str">
        <f>SUBSTITUTE(SUBSTITUTE(SUBSTITUTE(cleaned_data[[#This Row],[Phone]],"(",""),")","")," ","")</f>
        <v>645959-6914</v>
      </c>
      <c r="H101" s="4" t="str">
        <f>raw_data[[#This Row],[Street Address]]</f>
        <v>3940 Donec Street</v>
      </c>
      <c r="I101" s="4" t="str">
        <f>TRIM(MID(cleaned_data[[#This Row],[Street Address]],FIND(" ",cleaned_data[[#This Row],[Street Address]])+1,LEN(cleaned_data[[#This Row],[Street Address]])))</f>
        <v>Donec Street</v>
      </c>
      <c r="J101" s="15" t="str">
        <f>raw_data[[#This Row],[Zipcode]]</f>
        <v>64458</v>
      </c>
      <c r="K101" s="4" t="str">
        <f>cleaned_data[[#This Row],[Zipcode]]&amp;" - "&amp;cleaned_data[[#This Row],[Street Name]]</f>
        <v>64458 - Donec Street</v>
      </c>
      <c r="L101" s="4" t="str">
        <f>LEFT(cleaned_data[[#This Row],[First Name]],3)&amp;LEFT(cleaned_data[[#This Row],[Last Name]],3)&amp;cleaned_data[[#This Row],[Area Code]]</f>
        <v>AleFau645</v>
      </c>
      <c r="M101" s="4" t="str">
        <f>SUBSTITUTE(cleaned_data[[#This Row],[Street Address]],"St.","Street")</f>
        <v>3940 Donec Street</v>
      </c>
      <c r="N101" s="4" t="str">
        <f>LEFT(cleaned_data[[#This Row],[Street Address]],FIND(" ",cleaned_data[[#This Row],[Street Address]])-1)</f>
        <v>3940</v>
      </c>
      <c r="O101" s="16">
        <f>raw_data[[#This Row],[Req Date]]</f>
        <v>41651</v>
      </c>
      <c r="P101" s="4">
        <f>YEAR(cleaned_data[[#This Row],[Req Date]])</f>
        <v>2014</v>
      </c>
      <c r="Q101" s="4">
        <f>MONTH(cleaned_data[[#This Row],[Req Date]])</f>
        <v>1</v>
      </c>
      <c r="R101" s="4">
        <f>DAY(cleaned_data[[#This Row],[Req Date]])</f>
        <v>12</v>
      </c>
    </row>
    <row r="102" spans="1:18" ht="15.6" x14ac:dyDescent="0.25">
      <c r="A102" s="4" t="str">
        <f>raw_data[[#This Row],[First Name]]</f>
        <v>Serina</v>
      </c>
      <c r="B102" s="4" t="str">
        <f>raw_data[[#This Row],[Last Name]]</f>
        <v>Bonner</v>
      </c>
      <c r="C102" s="4" t="str">
        <f>TRIM(cleaned_data[[#This Row],[First Name]]&amp; " "&amp;cleaned_data[[#This Row],[Last Name]])</f>
        <v>Serina Bonner</v>
      </c>
      <c r="D102" s="4" t="str">
        <f>raw_data[[#This Row],[Phone]]</f>
        <v>(124) 702-0984</v>
      </c>
      <c r="E102" s="4" t="str">
        <f>MID(cleaned_data[[#This Row],[Phone]],FIND("(",cleaned_data[[#This Row],[Phone]])+1,3)</f>
        <v>124</v>
      </c>
      <c r="F102" s="4" t="str">
        <f>RIGHT(SUBSTITUTE(cleaned_data[[#This Row],[Phone]],"-",""),7)</f>
        <v>7020984</v>
      </c>
      <c r="G102" s="4" t="str">
        <f>SUBSTITUTE(SUBSTITUTE(SUBSTITUTE(cleaned_data[[#This Row],[Phone]],"(",""),")","")," ","")</f>
        <v>124702-0984</v>
      </c>
      <c r="H102" s="4" t="str">
        <f>raw_data[[#This Row],[Street Address]]</f>
        <v>4486 Eunice Ave.</v>
      </c>
      <c r="I102" s="4" t="str">
        <f>TRIM(MID(cleaned_data[[#This Row],[Street Address]],FIND(" ",cleaned_data[[#This Row],[Street Address]])+1,LEN(cleaned_data[[#This Row],[Street Address]])))</f>
        <v>Eunice Ave.</v>
      </c>
      <c r="J102" s="15" t="str">
        <f>raw_data[[#This Row],[Zipcode]]</f>
        <v>64459</v>
      </c>
      <c r="K102" s="4" t="str">
        <f>cleaned_data[[#This Row],[Zipcode]]&amp;" - "&amp;cleaned_data[[#This Row],[Street Name]]</f>
        <v>64459 - Eunice Ave.</v>
      </c>
      <c r="L102" s="4" t="str">
        <f>LEFT(cleaned_data[[#This Row],[First Name]],3)&amp;LEFT(cleaned_data[[#This Row],[Last Name]],3)&amp;cleaned_data[[#This Row],[Area Code]]</f>
        <v>SerBon124</v>
      </c>
      <c r="M102" s="4" t="str">
        <f>SUBSTITUTE(cleaned_data[[#This Row],[Street Address]],"St.","Street")</f>
        <v>4486 Eunice Ave.</v>
      </c>
      <c r="N102" s="4" t="str">
        <f>LEFT(cleaned_data[[#This Row],[Street Address]],FIND(" ",cleaned_data[[#This Row],[Street Address]])-1)</f>
        <v>4486</v>
      </c>
      <c r="O102" s="16">
        <f>raw_data[[#This Row],[Req Date]]</f>
        <v>41613</v>
      </c>
      <c r="P102" s="4">
        <f>YEAR(cleaned_data[[#This Row],[Req Date]])</f>
        <v>2013</v>
      </c>
      <c r="Q102" s="4">
        <f>MONTH(cleaned_data[[#This Row],[Req Date]])</f>
        <v>12</v>
      </c>
      <c r="R102" s="4">
        <f>DAY(cleaned_data[[#This Row],[Req Date]])</f>
        <v>5</v>
      </c>
    </row>
    <row r="103" spans="1:18" ht="15.6" x14ac:dyDescent="0.25">
      <c r="A103" s="4" t="str">
        <f>raw_data[[#This Row],[First Name]]</f>
        <v>Vladimir</v>
      </c>
      <c r="B103" s="4" t="str">
        <f>raw_data[[#This Row],[Last Name]]</f>
        <v>Malone</v>
      </c>
      <c r="C103" s="4" t="str">
        <f>TRIM(cleaned_data[[#This Row],[First Name]]&amp; " "&amp;cleaned_data[[#This Row],[Last Name]])</f>
        <v>Vladimir Malone</v>
      </c>
      <c r="D103" s="4" t="str">
        <f>raw_data[[#This Row],[Phone]]</f>
        <v>(369) 305-0371</v>
      </c>
      <c r="E103" s="4" t="str">
        <f>MID(cleaned_data[[#This Row],[Phone]],FIND("(",cleaned_data[[#This Row],[Phone]])+1,3)</f>
        <v>369</v>
      </c>
      <c r="F103" s="4" t="str">
        <f>RIGHT(SUBSTITUTE(cleaned_data[[#This Row],[Phone]],"-",""),7)</f>
        <v>3050371</v>
      </c>
      <c r="G103" s="4" t="str">
        <f>SUBSTITUTE(SUBSTITUTE(SUBSTITUTE(cleaned_data[[#This Row],[Phone]],"(",""),")","")," ","")</f>
        <v>369305-0371</v>
      </c>
      <c r="H103" s="4" t="str">
        <f>raw_data[[#This Row],[Street Address]]</f>
        <v>6685 Third Ave.</v>
      </c>
      <c r="I103" s="4" t="str">
        <f>TRIM(MID(cleaned_data[[#This Row],[Street Address]],FIND(" ",cleaned_data[[#This Row],[Street Address]])+1,LEN(cleaned_data[[#This Row],[Street Address]])))</f>
        <v>Third Ave.</v>
      </c>
      <c r="J103" s="15" t="str">
        <f>raw_data[[#This Row],[Zipcode]]</f>
        <v>66756</v>
      </c>
      <c r="K103" s="4" t="str">
        <f>cleaned_data[[#This Row],[Zipcode]]&amp;" - "&amp;cleaned_data[[#This Row],[Street Name]]</f>
        <v>66756 - Third Ave.</v>
      </c>
      <c r="L103" s="4" t="str">
        <f>LEFT(cleaned_data[[#This Row],[First Name]],3)&amp;LEFT(cleaned_data[[#This Row],[Last Name]],3)&amp;cleaned_data[[#This Row],[Area Code]]</f>
        <v>VlaMal369</v>
      </c>
      <c r="M103" s="4" t="str">
        <f>SUBSTITUTE(cleaned_data[[#This Row],[Street Address]],"St.","Street")</f>
        <v>6685 Third Ave.</v>
      </c>
      <c r="N103" s="4" t="str">
        <f>LEFT(cleaned_data[[#This Row],[Street Address]],FIND(" ",cleaned_data[[#This Row],[Street Address]])-1)</f>
        <v>6685</v>
      </c>
      <c r="O103" s="16">
        <f>raw_data[[#This Row],[Req Date]]</f>
        <v>41674</v>
      </c>
      <c r="P103" s="4">
        <f>YEAR(cleaned_data[[#This Row],[Req Date]])</f>
        <v>2014</v>
      </c>
      <c r="Q103" s="4">
        <f>MONTH(cleaned_data[[#This Row],[Req Date]])</f>
        <v>2</v>
      </c>
      <c r="R103" s="4">
        <f>DAY(cleaned_data[[#This Row],[Req Date]])</f>
        <v>4</v>
      </c>
    </row>
    <row r="104" spans="1:18" ht="15.6" x14ac:dyDescent="0.25">
      <c r="A104" s="4" t="str">
        <f>raw_data[[#This Row],[First Name]]</f>
        <v>Tate</v>
      </c>
      <c r="B104" s="4" t="str">
        <f>raw_data[[#This Row],[Last Name]]</f>
        <v>Mcmahon</v>
      </c>
      <c r="C104" s="4" t="str">
        <f>TRIM(cleaned_data[[#This Row],[First Name]]&amp; " "&amp;cleaned_data[[#This Row],[Last Name]])</f>
        <v>Tate Mcmahon</v>
      </c>
      <c r="D104" s="4" t="str">
        <f>raw_data[[#This Row],[Phone]]</f>
        <v>(653) 241-9022</v>
      </c>
      <c r="E104" s="4" t="str">
        <f>MID(cleaned_data[[#This Row],[Phone]],FIND("(",cleaned_data[[#This Row],[Phone]])+1,3)</f>
        <v>653</v>
      </c>
      <c r="F104" s="4" t="str">
        <f>RIGHT(SUBSTITUTE(cleaned_data[[#This Row],[Phone]],"-",""),7)</f>
        <v>2419022</v>
      </c>
      <c r="G104" s="4" t="str">
        <f>SUBSTITUTE(SUBSTITUTE(SUBSTITUTE(cleaned_data[[#This Row],[Phone]],"(",""),")","")," ","")</f>
        <v>653241-9022</v>
      </c>
      <c r="H104" s="4" t="str">
        <f>raw_data[[#This Row],[Street Address]]</f>
        <v>7197 Arbor Vitae St.</v>
      </c>
      <c r="I104" s="4" t="str">
        <f>TRIM(MID(cleaned_data[[#This Row],[Street Address]],FIND(" ",cleaned_data[[#This Row],[Street Address]])+1,LEN(cleaned_data[[#This Row],[Street Address]])))</f>
        <v>Arbor Vitae St.</v>
      </c>
      <c r="J104" s="15" t="str">
        <f>raw_data[[#This Row],[Zipcode]]</f>
        <v>66757</v>
      </c>
      <c r="K104" s="4" t="str">
        <f>cleaned_data[[#This Row],[Zipcode]]&amp;" - "&amp;cleaned_data[[#This Row],[Street Name]]</f>
        <v>66757 - Arbor Vitae St.</v>
      </c>
      <c r="L104" s="4" t="str">
        <f>LEFT(cleaned_data[[#This Row],[First Name]],3)&amp;LEFT(cleaned_data[[#This Row],[Last Name]],3)&amp;cleaned_data[[#This Row],[Area Code]]</f>
        <v>TatMcm653</v>
      </c>
      <c r="M104" s="4" t="str">
        <f>SUBSTITUTE(cleaned_data[[#This Row],[Street Address]],"St.","Street")</f>
        <v>7197 Arbor Vitae Street</v>
      </c>
      <c r="N104" s="4" t="str">
        <f>LEFT(cleaned_data[[#This Row],[Street Address]],FIND(" ",cleaned_data[[#This Row],[Street Address]])-1)</f>
        <v>7197</v>
      </c>
      <c r="O104" s="16">
        <f>raw_data[[#This Row],[Req Date]]</f>
        <v>41638</v>
      </c>
      <c r="P104" s="4">
        <f>YEAR(cleaned_data[[#This Row],[Req Date]])</f>
        <v>2013</v>
      </c>
      <c r="Q104" s="4">
        <f>MONTH(cleaned_data[[#This Row],[Req Date]])</f>
        <v>12</v>
      </c>
      <c r="R104" s="4">
        <f>DAY(cleaned_data[[#This Row],[Req Date]])</f>
        <v>30</v>
      </c>
    </row>
    <row r="105" spans="1:18" ht="15.6" x14ac:dyDescent="0.25">
      <c r="A105" s="4" t="str">
        <f>raw_data[[#This Row],[First Name]]</f>
        <v>Armando</v>
      </c>
      <c r="B105" s="4" t="str">
        <f>raw_data[[#This Row],[Last Name]]</f>
        <v>Horne</v>
      </c>
      <c r="C105" s="4" t="str">
        <f>TRIM(cleaned_data[[#This Row],[First Name]]&amp; " "&amp;cleaned_data[[#This Row],[Last Name]])</f>
        <v>Armando Horne</v>
      </c>
      <c r="D105" s="4" t="str">
        <f>raw_data[[#This Row],[Phone]]</f>
        <v>(149) 380-3269</v>
      </c>
      <c r="E105" s="4" t="str">
        <f>MID(cleaned_data[[#This Row],[Phone]],FIND("(",cleaned_data[[#This Row],[Phone]])+1,3)</f>
        <v>149</v>
      </c>
      <c r="F105" s="4" t="str">
        <f>RIGHT(SUBSTITUTE(cleaned_data[[#This Row],[Phone]],"-",""),7)</f>
        <v>3803269</v>
      </c>
      <c r="G105" s="4" t="str">
        <f>SUBSTITUTE(SUBSTITUTE(SUBSTITUTE(cleaned_data[[#This Row],[Phone]],"(",""),")","")," ","")</f>
        <v>149380-3269</v>
      </c>
      <c r="H105" s="4" t="str">
        <f>raw_data[[#This Row],[Street Address]]</f>
        <v>7676 Wendy Ave.</v>
      </c>
      <c r="I105" s="4" t="str">
        <f>TRIM(MID(cleaned_data[[#This Row],[Street Address]],FIND(" ",cleaned_data[[#This Row],[Street Address]])+1,LEN(cleaned_data[[#This Row],[Street Address]])))</f>
        <v>Wendy Ave.</v>
      </c>
      <c r="J105" s="15" t="str">
        <f>raw_data[[#This Row],[Zipcode]]</f>
        <v>66758</v>
      </c>
      <c r="K105" s="4" t="str">
        <f>cleaned_data[[#This Row],[Zipcode]]&amp;" - "&amp;cleaned_data[[#This Row],[Street Name]]</f>
        <v>66758 - Wendy Ave.</v>
      </c>
      <c r="L105" s="4" t="str">
        <f>LEFT(cleaned_data[[#This Row],[First Name]],3)&amp;LEFT(cleaned_data[[#This Row],[Last Name]],3)&amp;cleaned_data[[#This Row],[Area Code]]</f>
        <v>ArmHor149</v>
      </c>
      <c r="M105" s="4" t="str">
        <f>SUBSTITUTE(cleaned_data[[#This Row],[Street Address]],"St.","Street")</f>
        <v>7676 Wendy Ave.</v>
      </c>
      <c r="N105" s="4" t="str">
        <f>LEFT(cleaned_data[[#This Row],[Street Address]],FIND(" ",cleaned_data[[#This Row],[Street Address]])-1)</f>
        <v>7676</v>
      </c>
      <c r="O105" s="16">
        <f>raw_data[[#This Row],[Req Date]]</f>
        <v>41682</v>
      </c>
      <c r="P105" s="4">
        <f>YEAR(cleaned_data[[#This Row],[Req Date]])</f>
        <v>2014</v>
      </c>
      <c r="Q105" s="4">
        <f>MONTH(cleaned_data[[#This Row],[Req Date]])</f>
        <v>2</v>
      </c>
      <c r="R105" s="4">
        <f>DAY(cleaned_data[[#This Row],[Req Date]])</f>
        <v>12</v>
      </c>
    </row>
    <row r="106" spans="1:18" ht="15.6" x14ac:dyDescent="0.25">
      <c r="A106" s="4" t="str">
        <f>raw_data[[#This Row],[First Name]]</f>
        <v>Shay</v>
      </c>
      <c r="B106" s="4" t="str">
        <f>raw_data[[#This Row],[Last Name]]</f>
        <v>Wilkerson</v>
      </c>
      <c r="C106" s="4" t="str">
        <f>TRIM(cleaned_data[[#This Row],[First Name]]&amp; " "&amp;cleaned_data[[#This Row],[Last Name]])</f>
        <v>Shay Wilkerson</v>
      </c>
      <c r="D106" s="4" t="str">
        <f>raw_data[[#This Row],[Phone]]</f>
        <v>(111) 778-3187</v>
      </c>
      <c r="E106" s="4" t="str">
        <f>MID(cleaned_data[[#This Row],[Phone]],FIND("(",cleaned_data[[#This Row],[Phone]])+1,3)</f>
        <v>111</v>
      </c>
      <c r="F106" s="4" t="str">
        <f>RIGHT(SUBSTITUTE(cleaned_data[[#This Row],[Phone]],"-",""),7)</f>
        <v>7783187</v>
      </c>
      <c r="G106" s="4" t="str">
        <f>SUBSTITUTE(SUBSTITUTE(SUBSTITUTE(cleaned_data[[#This Row],[Phone]],"(",""),")","")," ","")</f>
        <v>111778-3187</v>
      </c>
      <c r="H106" s="4" t="str">
        <f>raw_data[[#This Row],[Street Address]]</f>
        <v>5153 Turnip St.</v>
      </c>
      <c r="I106" s="4" t="str">
        <f>TRIM(MID(cleaned_data[[#This Row],[Street Address]],FIND(" ",cleaned_data[[#This Row],[Street Address]])+1,LEN(cleaned_data[[#This Row],[Street Address]])))</f>
        <v>Turnip St.</v>
      </c>
      <c r="J106" s="15" t="str">
        <f>raw_data[[#This Row],[Zipcode]]</f>
        <v>66759</v>
      </c>
      <c r="K106" s="4" t="str">
        <f>cleaned_data[[#This Row],[Zipcode]]&amp;" - "&amp;cleaned_data[[#This Row],[Street Name]]</f>
        <v>66759 - Turnip St.</v>
      </c>
      <c r="L106" s="4" t="str">
        <f>LEFT(cleaned_data[[#This Row],[First Name]],3)&amp;LEFT(cleaned_data[[#This Row],[Last Name]],3)&amp;cleaned_data[[#This Row],[Area Code]]</f>
        <v>ShaWil111</v>
      </c>
      <c r="M106" s="4" t="str">
        <f>SUBSTITUTE(cleaned_data[[#This Row],[Street Address]],"St.","Street")</f>
        <v>5153 Turnip Street</v>
      </c>
      <c r="N106" s="4" t="str">
        <f>LEFT(cleaned_data[[#This Row],[Street Address]],FIND(" ",cleaned_data[[#This Row],[Street Address]])-1)</f>
        <v>5153</v>
      </c>
      <c r="O106" s="16">
        <f>raw_data[[#This Row],[Req Date]]</f>
        <v>41675</v>
      </c>
      <c r="P106" s="4">
        <f>YEAR(cleaned_data[[#This Row],[Req Date]])</f>
        <v>2014</v>
      </c>
      <c r="Q106" s="4">
        <f>MONTH(cleaned_data[[#This Row],[Req Date]])</f>
        <v>2</v>
      </c>
      <c r="R106" s="4">
        <f>DAY(cleaned_data[[#This Row],[Req Date]])</f>
        <v>5</v>
      </c>
    </row>
    <row r="107" spans="1:18" ht="15.6" x14ac:dyDescent="0.25">
      <c r="A107" s="4" t="str">
        <f>raw_data[[#This Row],[First Name]]</f>
        <v>Renee</v>
      </c>
      <c r="B107" s="4" t="str">
        <f>raw_data[[#This Row],[Last Name]]</f>
        <v>Keith</v>
      </c>
      <c r="C107" s="4" t="str">
        <f>TRIM(cleaned_data[[#This Row],[First Name]]&amp; " "&amp;cleaned_data[[#This Row],[Last Name]])</f>
        <v>Renee Keith</v>
      </c>
      <c r="D107" s="4" t="str">
        <f>raw_data[[#This Row],[Phone]]</f>
        <v>(583) 888-8580</v>
      </c>
      <c r="E107" s="4" t="str">
        <f>MID(cleaned_data[[#This Row],[Phone]],FIND("(",cleaned_data[[#This Row],[Phone]])+1,3)</f>
        <v>583</v>
      </c>
      <c r="F107" s="4" t="str">
        <f>RIGHT(SUBSTITUTE(cleaned_data[[#This Row],[Phone]],"-",""),7)</f>
        <v>8888580</v>
      </c>
      <c r="G107" s="4" t="str">
        <f>SUBSTITUTE(SUBSTITUTE(SUBSTITUTE(cleaned_data[[#This Row],[Phone]],"(",""),")","")," ","")</f>
        <v>583888-8580</v>
      </c>
      <c r="H107" s="4" t="str">
        <f>raw_data[[#This Row],[Street Address]]</f>
        <v>5689 Interdum Rd.</v>
      </c>
      <c r="I107" s="4" t="str">
        <f>TRIM(MID(cleaned_data[[#This Row],[Street Address]],FIND(" ",cleaned_data[[#This Row],[Street Address]])+1,LEN(cleaned_data[[#This Row],[Street Address]])))</f>
        <v>Interdum Rd.</v>
      </c>
      <c r="J107" s="15" t="str">
        <f>raw_data[[#This Row],[Zipcode]]</f>
        <v>68526</v>
      </c>
      <c r="K107" s="4" t="str">
        <f>cleaned_data[[#This Row],[Zipcode]]&amp;" - "&amp;cleaned_data[[#This Row],[Street Name]]</f>
        <v>68526 - Interdum Rd.</v>
      </c>
      <c r="L107" s="4" t="str">
        <f>LEFT(cleaned_data[[#This Row],[First Name]],3)&amp;LEFT(cleaned_data[[#This Row],[Last Name]],3)&amp;cleaned_data[[#This Row],[Area Code]]</f>
        <v>RenKei583</v>
      </c>
      <c r="M107" s="4" t="str">
        <f>SUBSTITUTE(cleaned_data[[#This Row],[Street Address]],"St.","Street")</f>
        <v>5689 Interdum Rd.</v>
      </c>
      <c r="N107" s="4" t="str">
        <f>LEFT(cleaned_data[[#This Row],[Street Address]],FIND(" ",cleaned_data[[#This Row],[Street Address]])-1)</f>
        <v>5689</v>
      </c>
      <c r="O107" s="16">
        <f>raw_data[[#This Row],[Req Date]]</f>
        <v>41618</v>
      </c>
      <c r="P107" s="4">
        <f>YEAR(cleaned_data[[#This Row],[Req Date]])</f>
        <v>2013</v>
      </c>
      <c r="Q107" s="4">
        <f>MONTH(cleaned_data[[#This Row],[Req Date]])</f>
        <v>12</v>
      </c>
      <c r="R107" s="4">
        <f>DAY(cleaned_data[[#This Row],[Req Date]])</f>
        <v>10</v>
      </c>
    </row>
    <row r="108" spans="1:18" ht="15.6" x14ac:dyDescent="0.25">
      <c r="A108" s="4" t="str">
        <f>raw_data[[#This Row],[First Name]]</f>
        <v>Uriah</v>
      </c>
      <c r="B108" s="4" t="str">
        <f>raw_data[[#This Row],[Last Name]]</f>
        <v>Harmon</v>
      </c>
      <c r="C108" s="4" t="str">
        <f>TRIM(cleaned_data[[#This Row],[First Name]]&amp; " "&amp;cleaned_data[[#This Row],[Last Name]])</f>
        <v>Uriah Harmon</v>
      </c>
      <c r="D108" s="4" t="str">
        <f>raw_data[[#This Row],[Phone]]</f>
        <v>(119) 555-4589</v>
      </c>
      <c r="E108" s="4" t="str">
        <f>MID(cleaned_data[[#This Row],[Phone]],FIND("(",cleaned_data[[#This Row],[Phone]])+1,3)</f>
        <v>119</v>
      </c>
      <c r="F108" s="4" t="str">
        <f>RIGHT(SUBSTITUTE(cleaned_data[[#This Row],[Phone]],"-",""),7)</f>
        <v>5554589</v>
      </c>
      <c r="G108" s="4" t="str">
        <f>SUBSTITUTE(SUBSTITUTE(SUBSTITUTE(cleaned_data[[#This Row],[Phone]],"(",""),")","")," ","")</f>
        <v>119555-4589</v>
      </c>
      <c r="H108" s="4" t="str">
        <f>raw_data[[#This Row],[Street Address]]</f>
        <v>2190 Ac St.</v>
      </c>
      <c r="I108" s="4" t="str">
        <f>TRIM(MID(cleaned_data[[#This Row],[Street Address]],FIND(" ",cleaned_data[[#This Row],[Street Address]])+1,LEN(cleaned_data[[#This Row],[Street Address]])))</f>
        <v>Ac St.</v>
      </c>
      <c r="J108" s="15" t="str">
        <f>raw_data[[#This Row],[Zipcode]]</f>
        <v>68527</v>
      </c>
      <c r="K108" s="4" t="str">
        <f>cleaned_data[[#This Row],[Zipcode]]&amp;" - "&amp;cleaned_data[[#This Row],[Street Name]]</f>
        <v>68527 - Ac St.</v>
      </c>
      <c r="L108" s="4" t="str">
        <f>LEFT(cleaned_data[[#This Row],[First Name]],3)&amp;LEFT(cleaned_data[[#This Row],[Last Name]],3)&amp;cleaned_data[[#This Row],[Area Code]]</f>
        <v>UriHar119</v>
      </c>
      <c r="M108" s="4" t="str">
        <f>SUBSTITUTE(cleaned_data[[#This Row],[Street Address]],"St.","Street")</f>
        <v>2190 Ac Street</v>
      </c>
      <c r="N108" s="4" t="str">
        <f>LEFT(cleaned_data[[#This Row],[Street Address]],FIND(" ",cleaned_data[[#This Row],[Street Address]])-1)</f>
        <v>2190</v>
      </c>
      <c r="O108" s="16">
        <f>raw_data[[#This Row],[Req Date]]</f>
        <v>41625</v>
      </c>
      <c r="P108" s="4">
        <f>YEAR(cleaned_data[[#This Row],[Req Date]])</f>
        <v>2013</v>
      </c>
      <c r="Q108" s="4">
        <f>MONTH(cleaned_data[[#This Row],[Req Date]])</f>
        <v>12</v>
      </c>
      <c r="R108" s="4">
        <f>DAY(cleaned_data[[#This Row],[Req Date]])</f>
        <v>17</v>
      </c>
    </row>
    <row r="109" spans="1:18" ht="15.6" x14ac:dyDescent="0.25">
      <c r="A109" s="4" t="str">
        <f>raw_data[[#This Row],[First Name]]</f>
        <v>Miriam</v>
      </c>
      <c r="B109" s="4" t="str">
        <f>raw_data[[#This Row],[Last Name]]</f>
        <v>Roy</v>
      </c>
      <c r="C109" s="4" t="str">
        <f>TRIM(cleaned_data[[#This Row],[First Name]]&amp; " "&amp;cleaned_data[[#This Row],[Last Name]])</f>
        <v>Miriam Roy</v>
      </c>
      <c r="D109" s="4" t="str">
        <f>raw_data[[#This Row],[Phone]]</f>
        <v>(243) 523-0550</v>
      </c>
      <c r="E109" s="4" t="str">
        <f>MID(cleaned_data[[#This Row],[Phone]],FIND("(",cleaned_data[[#This Row],[Phone]])+1,3)</f>
        <v>243</v>
      </c>
      <c r="F109" s="4" t="str">
        <f>RIGHT(SUBSTITUTE(cleaned_data[[#This Row],[Phone]],"-",""),7)</f>
        <v>5230550</v>
      </c>
      <c r="G109" s="4" t="str">
        <f>SUBSTITUTE(SUBSTITUTE(SUBSTITUTE(cleaned_data[[#This Row],[Phone]],"(",""),")","")," ","")</f>
        <v>243523-0550</v>
      </c>
      <c r="H109" s="4" t="str">
        <f>raw_data[[#This Row],[Street Address]]</f>
        <v>9687 Faucibus Rd.</v>
      </c>
      <c r="I109" s="4" t="str">
        <f>TRIM(MID(cleaned_data[[#This Row],[Street Address]],FIND(" ",cleaned_data[[#This Row],[Street Address]])+1,LEN(cleaned_data[[#This Row],[Street Address]])))</f>
        <v>Faucibus Rd.</v>
      </c>
      <c r="J109" s="15" t="str">
        <f>raw_data[[#This Row],[Zipcode]]</f>
        <v>70513</v>
      </c>
      <c r="K109" s="4" t="str">
        <f>cleaned_data[[#This Row],[Zipcode]]&amp;" - "&amp;cleaned_data[[#This Row],[Street Name]]</f>
        <v>70513 - Faucibus Rd.</v>
      </c>
      <c r="L109" s="4" t="str">
        <f>LEFT(cleaned_data[[#This Row],[First Name]],3)&amp;LEFT(cleaned_data[[#This Row],[Last Name]],3)&amp;cleaned_data[[#This Row],[Area Code]]</f>
        <v>MirRoy243</v>
      </c>
      <c r="M109" s="4" t="str">
        <f>SUBSTITUTE(cleaned_data[[#This Row],[Street Address]],"St.","Street")</f>
        <v>9687 Faucibus Rd.</v>
      </c>
      <c r="N109" s="4" t="str">
        <f>LEFT(cleaned_data[[#This Row],[Street Address]],FIND(" ",cleaned_data[[#This Row],[Street Address]])-1)</f>
        <v>9687</v>
      </c>
      <c r="O109" s="16">
        <f>raw_data[[#This Row],[Req Date]]</f>
        <v>41613</v>
      </c>
      <c r="P109" s="4">
        <f>YEAR(cleaned_data[[#This Row],[Req Date]])</f>
        <v>2013</v>
      </c>
      <c r="Q109" s="4">
        <f>MONTH(cleaned_data[[#This Row],[Req Date]])</f>
        <v>12</v>
      </c>
      <c r="R109" s="4">
        <f>DAY(cleaned_data[[#This Row],[Req Date]])</f>
        <v>5</v>
      </c>
    </row>
    <row r="110" spans="1:18" ht="15.6" x14ac:dyDescent="0.25">
      <c r="A110" s="4" t="str">
        <f>raw_data[[#This Row],[First Name]]</f>
        <v>Paul</v>
      </c>
      <c r="B110" s="4" t="str">
        <f>raw_data[[#This Row],[Last Name]]</f>
        <v>Sharp</v>
      </c>
      <c r="C110" s="4" t="str">
        <f>TRIM(cleaned_data[[#This Row],[First Name]]&amp; " "&amp;cleaned_data[[#This Row],[Last Name]])</f>
        <v>Paul Sharp</v>
      </c>
      <c r="D110" s="4" t="str">
        <f>raw_data[[#This Row],[Phone]]</f>
        <v>(141) 916-4689</v>
      </c>
      <c r="E110" s="4" t="str">
        <f>MID(cleaned_data[[#This Row],[Phone]],FIND("(",cleaned_data[[#This Row],[Phone]])+1,3)</f>
        <v>141</v>
      </c>
      <c r="F110" s="4" t="str">
        <f>RIGHT(SUBSTITUTE(cleaned_data[[#This Row],[Phone]],"-",""),7)</f>
        <v>9164689</v>
      </c>
      <c r="G110" s="4" t="str">
        <f>SUBSTITUTE(SUBSTITUTE(SUBSTITUTE(cleaned_data[[#This Row],[Phone]],"(",""),")","")," ","")</f>
        <v>141916-4689</v>
      </c>
      <c r="H110" s="4" t="str">
        <f>raw_data[[#This Row],[Street Address]]</f>
        <v>3511 E Street</v>
      </c>
      <c r="I110" s="4" t="str">
        <f>TRIM(MID(cleaned_data[[#This Row],[Street Address]],FIND(" ",cleaned_data[[#This Row],[Street Address]])+1,LEN(cleaned_data[[#This Row],[Street Address]])))</f>
        <v>E Street</v>
      </c>
      <c r="J110" s="15" t="str">
        <f>raw_data[[#This Row],[Zipcode]]</f>
        <v>70517</v>
      </c>
      <c r="K110" s="4" t="str">
        <f>cleaned_data[[#This Row],[Zipcode]]&amp;" - "&amp;cleaned_data[[#This Row],[Street Name]]</f>
        <v>70517 - E Street</v>
      </c>
      <c r="L110" s="4" t="str">
        <f>LEFT(cleaned_data[[#This Row],[First Name]],3)&amp;LEFT(cleaned_data[[#This Row],[Last Name]],3)&amp;cleaned_data[[#This Row],[Area Code]]</f>
        <v>PauSha141</v>
      </c>
      <c r="M110" s="4" t="str">
        <f>SUBSTITUTE(cleaned_data[[#This Row],[Street Address]],"St.","Street")</f>
        <v>3511 E Street</v>
      </c>
      <c r="N110" s="4" t="str">
        <f>LEFT(cleaned_data[[#This Row],[Street Address]],FIND(" ",cleaned_data[[#This Row],[Street Address]])-1)</f>
        <v>3511</v>
      </c>
      <c r="O110" s="16">
        <f>raw_data[[#This Row],[Req Date]]</f>
        <v>41634</v>
      </c>
      <c r="P110" s="4">
        <f>YEAR(cleaned_data[[#This Row],[Req Date]])</f>
        <v>2013</v>
      </c>
      <c r="Q110" s="4">
        <f>MONTH(cleaned_data[[#This Row],[Req Date]])</f>
        <v>12</v>
      </c>
      <c r="R110" s="4">
        <f>DAY(cleaned_data[[#This Row],[Req Date]])</f>
        <v>26</v>
      </c>
    </row>
    <row r="111" spans="1:18" ht="15.6" x14ac:dyDescent="0.25">
      <c r="A111" s="4" t="str">
        <f>raw_data[[#This Row],[First Name]]</f>
        <v>Virginia</v>
      </c>
      <c r="B111" s="4" t="str">
        <f>raw_data[[#This Row],[Last Name]]</f>
        <v>Harmon</v>
      </c>
      <c r="C111" s="4" t="str">
        <f>TRIM(cleaned_data[[#This Row],[First Name]]&amp; " "&amp;cleaned_data[[#This Row],[Last Name]])</f>
        <v>Virginia Harmon</v>
      </c>
      <c r="D111" s="4" t="str">
        <f>raw_data[[#This Row],[Phone]]</f>
        <v>(941) 952-7822</v>
      </c>
      <c r="E111" s="4" t="str">
        <f>MID(cleaned_data[[#This Row],[Phone]],FIND("(",cleaned_data[[#This Row],[Phone]])+1,3)</f>
        <v>941</v>
      </c>
      <c r="F111" s="4" t="str">
        <f>RIGHT(SUBSTITUTE(cleaned_data[[#This Row],[Phone]],"-",""),7)</f>
        <v>9527822</v>
      </c>
      <c r="G111" s="4" t="str">
        <f>SUBSTITUTE(SUBSTITUTE(SUBSTITUTE(cleaned_data[[#This Row],[Phone]],"(",""),")","")," ","")</f>
        <v>941952-7822</v>
      </c>
      <c r="H111" s="4" t="str">
        <f>raw_data[[#This Row],[Street Address]]</f>
        <v>5601 Suspension St.</v>
      </c>
      <c r="I111" s="4" t="str">
        <f>TRIM(MID(cleaned_data[[#This Row],[Street Address]],FIND(" ",cleaned_data[[#This Row],[Street Address]])+1,LEN(cleaned_data[[#This Row],[Street Address]])))</f>
        <v>Suspension St.</v>
      </c>
      <c r="J111" s="15" t="str">
        <f>raw_data[[#This Row],[Zipcode]]</f>
        <v>71497</v>
      </c>
      <c r="K111" s="4" t="str">
        <f>cleaned_data[[#This Row],[Zipcode]]&amp;" - "&amp;cleaned_data[[#This Row],[Street Name]]</f>
        <v>71497 - Suspension St.</v>
      </c>
      <c r="L111" s="4" t="str">
        <f>LEFT(cleaned_data[[#This Row],[First Name]],3)&amp;LEFT(cleaned_data[[#This Row],[Last Name]],3)&amp;cleaned_data[[#This Row],[Area Code]]</f>
        <v>VirHar941</v>
      </c>
      <c r="M111" s="4" t="str">
        <f>SUBSTITUTE(cleaned_data[[#This Row],[Street Address]],"St.","Street")</f>
        <v>5601 Suspension Street</v>
      </c>
      <c r="N111" s="4" t="str">
        <f>LEFT(cleaned_data[[#This Row],[Street Address]],FIND(" ",cleaned_data[[#This Row],[Street Address]])-1)</f>
        <v>5601</v>
      </c>
      <c r="O111" s="16">
        <f>raw_data[[#This Row],[Req Date]]</f>
        <v>41614</v>
      </c>
      <c r="P111" s="4">
        <f>YEAR(cleaned_data[[#This Row],[Req Date]])</f>
        <v>2013</v>
      </c>
      <c r="Q111" s="4">
        <f>MONTH(cleaned_data[[#This Row],[Req Date]])</f>
        <v>12</v>
      </c>
      <c r="R111" s="4">
        <f>DAY(cleaned_data[[#This Row],[Req Date]])</f>
        <v>6</v>
      </c>
    </row>
    <row r="112" spans="1:18" ht="15.6" x14ac:dyDescent="0.25">
      <c r="A112" s="4" t="str">
        <f>raw_data[[#This Row],[First Name]]</f>
        <v>Imani</v>
      </c>
      <c r="B112" s="4" t="str">
        <f>raw_data[[#This Row],[Last Name]]</f>
        <v>Jefferson</v>
      </c>
      <c r="C112" s="4" t="str">
        <f>TRIM(cleaned_data[[#This Row],[First Name]]&amp; " "&amp;cleaned_data[[#This Row],[Last Name]])</f>
        <v>Imani Jefferson</v>
      </c>
      <c r="D112" s="4" t="str">
        <f>raw_data[[#This Row],[Phone]]</f>
        <v>(444) 884-4239</v>
      </c>
      <c r="E112" s="4" t="str">
        <f>MID(cleaned_data[[#This Row],[Phone]],FIND("(",cleaned_data[[#This Row],[Phone]])+1,3)</f>
        <v>444</v>
      </c>
      <c r="F112" s="4" t="str">
        <f>RIGHT(SUBSTITUTE(cleaned_data[[#This Row],[Phone]],"-",""),7)</f>
        <v>8844239</v>
      </c>
      <c r="G112" s="4" t="str">
        <f>SUBSTITUTE(SUBSTITUTE(SUBSTITUTE(cleaned_data[[#This Row],[Phone]],"(",""),")","")," ","")</f>
        <v>444884-4239</v>
      </c>
      <c r="H112" s="4" t="str">
        <f>raw_data[[#This Row],[Street Address]]</f>
        <v>674-1385 Pellentesque Road</v>
      </c>
      <c r="I112" s="4" t="str">
        <f>TRIM(MID(cleaned_data[[#This Row],[Street Address]],FIND(" ",cleaned_data[[#This Row],[Street Address]])+1,LEN(cleaned_data[[#This Row],[Street Address]])))</f>
        <v>Pellentesque Road</v>
      </c>
      <c r="J112" s="15" t="str">
        <f>raw_data[[#This Row],[Zipcode]]</f>
        <v>71601</v>
      </c>
      <c r="K112" s="4" t="str">
        <f>cleaned_data[[#This Row],[Zipcode]]&amp;" - "&amp;cleaned_data[[#This Row],[Street Name]]</f>
        <v>71601 - Pellentesque Road</v>
      </c>
      <c r="L112" s="4" t="str">
        <f>LEFT(cleaned_data[[#This Row],[First Name]],3)&amp;LEFT(cleaned_data[[#This Row],[Last Name]],3)&amp;cleaned_data[[#This Row],[Area Code]]</f>
        <v>ImaJef444</v>
      </c>
      <c r="M112" s="4" t="str">
        <f>SUBSTITUTE(cleaned_data[[#This Row],[Street Address]],"St.","Street")</f>
        <v>674-1385 Pellentesque Road</v>
      </c>
      <c r="N112" s="4" t="str">
        <f>LEFT(cleaned_data[[#This Row],[Street Address]],FIND(" ",cleaned_data[[#This Row],[Street Address]])-1)</f>
        <v>674-1385</v>
      </c>
      <c r="O112" s="16">
        <f>raw_data[[#This Row],[Req Date]]</f>
        <v>41658</v>
      </c>
      <c r="P112" s="4">
        <f>YEAR(cleaned_data[[#This Row],[Req Date]])</f>
        <v>2014</v>
      </c>
      <c r="Q112" s="4">
        <f>MONTH(cleaned_data[[#This Row],[Req Date]])</f>
        <v>1</v>
      </c>
      <c r="R112" s="4">
        <f>DAY(cleaned_data[[#This Row],[Req Date]])</f>
        <v>19</v>
      </c>
    </row>
    <row r="113" spans="1:18" ht="15.6" x14ac:dyDescent="0.25">
      <c r="A113" s="4" t="str">
        <f>raw_data[[#This Row],[First Name]]</f>
        <v>Stewart</v>
      </c>
      <c r="B113" s="4" t="str">
        <f>raw_data[[#This Row],[Last Name]]</f>
        <v>Hayden</v>
      </c>
      <c r="C113" s="4" t="str">
        <f>TRIM(cleaned_data[[#This Row],[First Name]]&amp; " "&amp;cleaned_data[[#This Row],[Last Name]])</f>
        <v>Stewart Hayden</v>
      </c>
      <c r="D113" s="4" t="str">
        <f>raw_data[[#This Row],[Phone]]</f>
        <v>(920) 106-5190</v>
      </c>
      <c r="E113" s="4" t="str">
        <f>MID(cleaned_data[[#This Row],[Phone]],FIND("(",cleaned_data[[#This Row],[Phone]])+1,3)</f>
        <v>920</v>
      </c>
      <c r="F113" s="4" t="str">
        <f>RIGHT(SUBSTITUTE(cleaned_data[[#This Row],[Phone]],"-",""),7)</f>
        <v>1065190</v>
      </c>
      <c r="G113" s="4" t="str">
        <f>SUBSTITUTE(SUBSTITUTE(SUBSTITUTE(cleaned_data[[#This Row],[Phone]],"(",""),")","")," ","")</f>
        <v>920106-5190</v>
      </c>
      <c r="H113" s="4" t="str">
        <f>raw_data[[#This Row],[Street Address]]</f>
        <v>267 Johnson Ave.</v>
      </c>
      <c r="I113" s="4" t="str">
        <f>TRIM(MID(cleaned_data[[#This Row],[Street Address]],FIND(" ",cleaned_data[[#This Row],[Street Address]])+1,LEN(cleaned_data[[#This Row],[Street Address]])))</f>
        <v>Johnson Ave.</v>
      </c>
      <c r="J113" s="15" t="str">
        <f>raw_data[[#This Row],[Zipcode]]</f>
        <v>71602</v>
      </c>
      <c r="K113" s="4" t="str">
        <f>cleaned_data[[#This Row],[Zipcode]]&amp;" - "&amp;cleaned_data[[#This Row],[Street Name]]</f>
        <v>71602 - Johnson Ave.</v>
      </c>
      <c r="L113" s="4" t="str">
        <f>LEFT(cleaned_data[[#This Row],[First Name]],3)&amp;LEFT(cleaned_data[[#This Row],[Last Name]],3)&amp;cleaned_data[[#This Row],[Area Code]]</f>
        <v>SteHay920</v>
      </c>
      <c r="M113" s="4" t="str">
        <f>SUBSTITUTE(cleaned_data[[#This Row],[Street Address]],"St.","Street")</f>
        <v>267 Johnson Ave.</v>
      </c>
      <c r="N113" s="4" t="str">
        <f>LEFT(cleaned_data[[#This Row],[Street Address]],FIND(" ",cleaned_data[[#This Row],[Street Address]])-1)</f>
        <v>267</v>
      </c>
      <c r="O113" s="16">
        <f>raw_data[[#This Row],[Req Date]]</f>
        <v>41640</v>
      </c>
      <c r="P113" s="4">
        <f>YEAR(cleaned_data[[#This Row],[Req Date]])</f>
        <v>2014</v>
      </c>
      <c r="Q113" s="4">
        <f>MONTH(cleaned_data[[#This Row],[Req Date]])</f>
        <v>1</v>
      </c>
      <c r="R113" s="4">
        <f>DAY(cleaned_data[[#This Row],[Req Date]])</f>
        <v>1</v>
      </c>
    </row>
    <row r="114" spans="1:18" ht="15.6" x14ac:dyDescent="0.25">
      <c r="A114" s="4" t="str">
        <f>raw_data[[#This Row],[First Name]]</f>
        <v>Berk</v>
      </c>
      <c r="B114" s="4" t="str">
        <f>raw_data[[#This Row],[Last Name]]</f>
        <v>Hatfield</v>
      </c>
      <c r="C114" s="4" t="str">
        <f>TRIM(cleaned_data[[#This Row],[First Name]]&amp; " "&amp;cleaned_data[[#This Row],[Last Name]])</f>
        <v>Berk Hatfield</v>
      </c>
      <c r="D114" s="4" t="str">
        <f>raw_data[[#This Row],[Phone]]</f>
        <v>(880) 300-1960</v>
      </c>
      <c r="E114" s="4" t="str">
        <f>MID(cleaned_data[[#This Row],[Phone]],FIND("(",cleaned_data[[#This Row],[Phone]])+1,3)</f>
        <v>880</v>
      </c>
      <c r="F114" s="4" t="str">
        <f>RIGHT(SUBSTITUTE(cleaned_data[[#This Row],[Phone]],"-",""),7)</f>
        <v>3001960</v>
      </c>
      <c r="G114" s="4" t="str">
        <f>SUBSTITUTE(SUBSTITUTE(SUBSTITUTE(cleaned_data[[#This Row],[Phone]],"(",""),")","")," ","")</f>
        <v>880300-1960</v>
      </c>
      <c r="H114" s="4" t="str">
        <f>raw_data[[#This Row],[Street Address]]</f>
        <v>3062 English Rd.</v>
      </c>
      <c r="I114" s="4" t="str">
        <f>TRIM(MID(cleaned_data[[#This Row],[Street Address]],FIND(" ",cleaned_data[[#This Row],[Street Address]])+1,LEN(cleaned_data[[#This Row],[Street Address]])))</f>
        <v>English Rd.</v>
      </c>
      <c r="J114" s="15" t="str">
        <f>raw_data[[#This Row],[Zipcode]]</f>
        <v>70837</v>
      </c>
      <c r="K114" s="4" t="str">
        <f>cleaned_data[[#This Row],[Zipcode]]&amp;" - "&amp;cleaned_data[[#This Row],[Street Name]]</f>
        <v>70837 - English Rd.</v>
      </c>
      <c r="L114" s="4" t="str">
        <f>LEFT(cleaned_data[[#This Row],[First Name]],3)&amp;LEFT(cleaned_data[[#This Row],[Last Name]],3)&amp;cleaned_data[[#This Row],[Area Code]]</f>
        <v>BerHat880</v>
      </c>
      <c r="M114" s="4" t="str">
        <f>SUBSTITUTE(cleaned_data[[#This Row],[Street Address]],"St.","Street")</f>
        <v>3062 English Rd.</v>
      </c>
      <c r="N114" s="4" t="str">
        <f>LEFT(cleaned_data[[#This Row],[Street Address]],FIND(" ",cleaned_data[[#This Row],[Street Address]])-1)</f>
        <v>3062</v>
      </c>
      <c r="O114" s="16">
        <f>raw_data[[#This Row],[Req Date]]</f>
        <v>41642</v>
      </c>
      <c r="P114" s="4">
        <f>YEAR(cleaned_data[[#This Row],[Req Date]])</f>
        <v>2014</v>
      </c>
      <c r="Q114" s="4">
        <f>MONTH(cleaned_data[[#This Row],[Req Date]])</f>
        <v>1</v>
      </c>
      <c r="R114" s="4">
        <f>DAY(cleaned_data[[#This Row],[Req Date]])</f>
        <v>3</v>
      </c>
    </row>
    <row r="115" spans="1:18" ht="15.6" x14ac:dyDescent="0.25">
      <c r="A115" s="4" t="str">
        <f>raw_data[[#This Row],[First Name]]</f>
        <v>Glenna</v>
      </c>
      <c r="B115" s="4" t="str">
        <f>raw_data[[#This Row],[Last Name]]</f>
        <v>Flores</v>
      </c>
      <c r="C115" s="4" t="str">
        <f>TRIM(cleaned_data[[#This Row],[First Name]]&amp; " "&amp;cleaned_data[[#This Row],[Last Name]])</f>
        <v>Glenna Flores</v>
      </c>
      <c r="D115" s="4" t="str">
        <f>raw_data[[#This Row],[Phone]]</f>
        <v>(353) 501-0299</v>
      </c>
      <c r="E115" s="4" t="str">
        <f>MID(cleaned_data[[#This Row],[Phone]],FIND("(",cleaned_data[[#This Row],[Phone]])+1,3)</f>
        <v>353</v>
      </c>
      <c r="F115" s="4" t="str">
        <f>RIGHT(SUBSTITUTE(cleaned_data[[#This Row],[Phone]],"-",""),7)</f>
        <v>5010299</v>
      </c>
      <c r="G115" s="4" t="str">
        <f>SUBSTITUTE(SUBSTITUTE(SUBSTITUTE(cleaned_data[[#This Row],[Phone]],"(",""),")","")," ","")</f>
        <v>353501-0299</v>
      </c>
      <c r="H115" s="4" t="str">
        <f>raw_data[[#This Row],[Street Address]]</f>
        <v>3835 Tempus Street</v>
      </c>
      <c r="I115" s="4" t="str">
        <f>TRIM(MID(cleaned_data[[#This Row],[Street Address]],FIND(" ",cleaned_data[[#This Row],[Street Address]])+1,LEN(cleaned_data[[#This Row],[Street Address]])))</f>
        <v>Tempus Street</v>
      </c>
      <c r="J115" s="15" t="str">
        <f>raw_data[[#This Row],[Zipcode]]</f>
        <v>73628</v>
      </c>
      <c r="K115" s="4" t="str">
        <f>cleaned_data[[#This Row],[Zipcode]]&amp;" - "&amp;cleaned_data[[#This Row],[Street Name]]</f>
        <v>73628 - Tempus Street</v>
      </c>
      <c r="L115" s="4" t="str">
        <f>LEFT(cleaned_data[[#This Row],[First Name]],3)&amp;LEFT(cleaned_data[[#This Row],[Last Name]],3)&amp;cleaned_data[[#This Row],[Area Code]]</f>
        <v>GleFlo353</v>
      </c>
      <c r="M115" s="4" t="str">
        <f>SUBSTITUTE(cleaned_data[[#This Row],[Street Address]],"St.","Street")</f>
        <v>3835 Tempus Street</v>
      </c>
      <c r="N115" s="4" t="str">
        <f>LEFT(cleaned_data[[#This Row],[Street Address]],FIND(" ",cleaned_data[[#This Row],[Street Address]])-1)</f>
        <v>3835</v>
      </c>
      <c r="O115" s="16">
        <f>raw_data[[#This Row],[Req Date]]</f>
        <v>41690</v>
      </c>
      <c r="P115" s="4">
        <f>YEAR(cleaned_data[[#This Row],[Req Date]])</f>
        <v>2014</v>
      </c>
      <c r="Q115" s="4">
        <f>MONTH(cleaned_data[[#This Row],[Req Date]])</f>
        <v>2</v>
      </c>
      <c r="R115" s="4">
        <f>DAY(cleaned_data[[#This Row],[Req Date]])</f>
        <v>20</v>
      </c>
    </row>
    <row r="116" spans="1:18" ht="15.6" x14ac:dyDescent="0.25">
      <c r="A116" s="4" t="str">
        <f>raw_data[[#This Row],[First Name]]</f>
        <v>Uriel</v>
      </c>
      <c r="B116" s="4" t="str">
        <f>raw_data[[#This Row],[Last Name]]</f>
        <v>Harvey</v>
      </c>
      <c r="C116" s="4" t="str">
        <f>TRIM(cleaned_data[[#This Row],[First Name]]&amp; " "&amp;cleaned_data[[#This Row],[Last Name]])</f>
        <v>Uriel Harvey</v>
      </c>
      <c r="D116" s="4" t="str">
        <f>raw_data[[#This Row],[Phone]]</f>
        <v>(171) 672-0656</v>
      </c>
      <c r="E116" s="4" t="str">
        <f>MID(cleaned_data[[#This Row],[Phone]],FIND("(",cleaned_data[[#This Row],[Phone]])+1,3)</f>
        <v>171</v>
      </c>
      <c r="F116" s="4" t="str">
        <f>RIGHT(SUBSTITUTE(cleaned_data[[#This Row],[Phone]],"-",""),7)</f>
        <v>6720656</v>
      </c>
      <c r="G116" s="4" t="str">
        <f>SUBSTITUTE(SUBSTITUTE(SUBSTITUTE(cleaned_data[[#This Row],[Phone]],"(",""),")","")," ","")</f>
        <v>171672-0656</v>
      </c>
      <c r="H116" s="4" t="str">
        <f>raw_data[[#This Row],[Street Address]]</f>
        <v>1204 Fames St.</v>
      </c>
      <c r="I116" s="4" t="str">
        <f>TRIM(MID(cleaned_data[[#This Row],[Street Address]],FIND(" ",cleaned_data[[#This Row],[Street Address]])+1,LEN(cleaned_data[[#This Row],[Street Address]])))</f>
        <v>Fames St.</v>
      </c>
      <c r="J116" s="15" t="str">
        <f>raw_data[[#This Row],[Zipcode]]</f>
        <v>73632</v>
      </c>
      <c r="K116" s="4" t="str">
        <f>cleaned_data[[#This Row],[Zipcode]]&amp;" - "&amp;cleaned_data[[#This Row],[Street Name]]</f>
        <v>73632 - Fames St.</v>
      </c>
      <c r="L116" s="4" t="str">
        <f>LEFT(cleaned_data[[#This Row],[First Name]],3)&amp;LEFT(cleaned_data[[#This Row],[Last Name]],3)&amp;cleaned_data[[#This Row],[Area Code]]</f>
        <v>UriHar171</v>
      </c>
      <c r="M116" s="4" t="str">
        <f>SUBSTITUTE(cleaned_data[[#This Row],[Street Address]],"St.","Street")</f>
        <v>1204 Fames Street</v>
      </c>
      <c r="N116" s="4" t="str">
        <f>LEFT(cleaned_data[[#This Row],[Street Address]],FIND(" ",cleaned_data[[#This Row],[Street Address]])-1)</f>
        <v>1204</v>
      </c>
      <c r="O116" s="16">
        <f>raw_data[[#This Row],[Req Date]]</f>
        <v>41628</v>
      </c>
      <c r="P116" s="4">
        <f>YEAR(cleaned_data[[#This Row],[Req Date]])</f>
        <v>2013</v>
      </c>
      <c r="Q116" s="4">
        <f>MONTH(cleaned_data[[#This Row],[Req Date]])</f>
        <v>12</v>
      </c>
      <c r="R116" s="4">
        <f>DAY(cleaned_data[[#This Row],[Req Date]])</f>
        <v>20</v>
      </c>
    </row>
    <row r="117" spans="1:18" ht="15.6" x14ac:dyDescent="0.25">
      <c r="A117" s="4" t="str">
        <f>raw_data[[#This Row],[First Name]]</f>
        <v>Cecilia</v>
      </c>
      <c r="B117" s="4" t="str">
        <f>raw_data[[#This Row],[Last Name]]</f>
        <v>Barrett</v>
      </c>
      <c r="C117" s="4" t="str">
        <f>TRIM(cleaned_data[[#This Row],[First Name]]&amp; " "&amp;cleaned_data[[#This Row],[Last Name]])</f>
        <v>Cecilia Barrett</v>
      </c>
      <c r="D117" s="4" t="str">
        <f>raw_data[[#This Row],[Phone]]</f>
        <v>(142) 206-6963</v>
      </c>
      <c r="E117" s="4" t="str">
        <f>MID(cleaned_data[[#This Row],[Phone]],FIND("(",cleaned_data[[#This Row],[Phone]])+1,3)</f>
        <v>142</v>
      </c>
      <c r="F117" s="4" t="str">
        <f>RIGHT(SUBSTITUTE(cleaned_data[[#This Row],[Phone]],"-",""),7)</f>
        <v>2066963</v>
      </c>
      <c r="G117" s="4" t="str">
        <f>SUBSTITUTE(SUBSTITUTE(SUBSTITUTE(cleaned_data[[#This Row],[Phone]],"(",""),")","")," ","")</f>
        <v>142206-6963</v>
      </c>
      <c r="H117" s="4" t="str">
        <f>raw_data[[#This Row],[Street Address]]</f>
        <v>3399 Cursors Street</v>
      </c>
      <c r="I117" s="4" t="str">
        <f>TRIM(MID(cleaned_data[[#This Row],[Street Address]],FIND(" ",cleaned_data[[#This Row],[Street Address]])+1,LEN(cleaned_data[[#This Row],[Street Address]])))</f>
        <v>Cursors Street</v>
      </c>
      <c r="J117" s="15" t="str">
        <f>raw_data[[#This Row],[Zipcode]]</f>
        <v>73638</v>
      </c>
      <c r="K117" s="4" t="str">
        <f>cleaned_data[[#This Row],[Zipcode]]&amp;" - "&amp;cleaned_data[[#This Row],[Street Name]]</f>
        <v>73638 - Cursors Street</v>
      </c>
      <c r="L117" s="4" t="str">
        <f>LEFT(cleaned_data[[#This Row],[First Name]],3)&amp;LEFT(cleaned_data[[#This Row],[Last Name]],3)&amp;cleaned_data[[#This Row],[Area Code]]</f>
        <v>CecBar142</v>
      </c>
      <c r="M117" s="4" t="str">
        <f>SUBSTITUTE(cleaned_data[[#This Row],[Street Address]],"St.","Street")</f>
        <v>3399 Cursors Street</v>
      </c>
      <c r="N117" s="4" t="str">
        <f>LEFT(cleaned_data[[#This Row],[Street Address]],FIND(" ",cleaned_data[[#This Row],[Street Address]])-1)</f>
        <v>3399</v>
      </c>
      <c r="O117" s="16">
        <f>raw_data[[#This Row],[Req Date]]</f>
        <v>41618</v>
      </c>
      <c r="P117" s="4">
        <f>YEAR(cleaned_data[[#This Row],[Req Date]])</f>
        <v>2013</v>
      </c>
      <c r="Q117" s="4">
        <f>MONTH(cleaned_data[[#This Row],[Req Date]])</f>
        <v>12</v>
      </c>
      <c r="R117" s="4">
        <f>DAY(cleaned_data[[#This Row],[Req Date]])</f>
        <v>10</v>
      </c>
    </row>
    <row r="118" spans="1:18" ht="15.6" x14ac:dyDescent="0.25">
      <c r="A118" s="4" t="str">
        <f>raw_data[[#This Row],[First Name]]</f>
        <v>Stewart</v>
      </c>
      <c r="B118" s="4" t="str">
        <f>raw_data[[#This Row],[Last Name]]</f>
        <v>Wiley</v>
      </c>
      <c r="C118" s="4" t="str">
        <f>TRIM(cleaned_data[[#This Row],[First Name]]&amp; " "&amp;cleaned_data[[#This Row],[Last Name]])</f>
        <v>Stewart Wiley</v>
      </c>
      <c r="D118" s="4" t="str">
        <f>raw_data[[#This Row],[Phone]]</f>
        <v>(620) 961-4419</v>
      </c>
      <c r="E118" s="4" t="str">
        <f>MID(cleaned_data[[#This Row],[Phone]],FIND("(",cleaned_data[[#This Row],[Phone]])+1,3)</f>
        <v>620</v>
      </c>
      <c r="F118" s="4" t="str">
        <f>RIGHT(SUBSTITUTE(cleaned_data[[#This Row],[Phone]],"-",""),7)</f>
        <v>9614419</v>
      </c>
      <c r="G118" s="4" t="str">
        <f>SUBSTITUTE(SUBSTITUTE(SUBSTITUTE(cleaned_data[[#This Row],[Phone]],"(",""),")","")," ","")</f>
        <v>620961-4419</v>
      </c>
      <c r="H118" s="4" t="str">
        <f>raw_data[[#This Row],[Street Address]]</f>
        <v>3560 Nibh Road</v>
      </c>
      <c r="I118" s="4" t="str">
        <f>TRIM(MID(cleaned_data[[#This Row],[Street Address]],FIND(" ",cleaned_data[[#This Row],[Street Address]])+1,LEN(cleaned_data[[#This Row],[Street Address]])))</f>
        <v>Nibh Road</v>
      </c>
      <c r="J118" s="15" t="str">
        <f>raw_data[[#This Row],[Zipcode]]</f>
        <v>73655</v>
      </c>
      <c r="K118" s="4" t="str">
        <f>cleaned_data[[#This Row],[Zipcode]]&amp;" - "&amp;cleaned_data[[#This Row],[Street Name]]</f>
        <v>73655 - Nibh Road</v>
      </c>
      <c r="L118" s="4" t="str">
        <f>LEFT(cleaned_data[[#This Row],[First Name]],3)&amp;LEFT(cleaned_data[[#This Row],[Last Name]],3)&amp;cleaned_data[[#This Row],[Area Code]]</f>
        <v>SteWil620</v>
      </c>
      <c r="M118" s="4" t="str">
        <f>SUBSTITUTE(cleaned_data[[#This Row],[Street Address]],"St.","Street")</f>
        <v>3560 Nibh Road</v>
      </c>
      <c r="N118" s="4" t="str">
        <f>LEFT(cleaned_data[[#This Row],[Street Address]],FIND(" ",cleaned_data[[#This Row],[Street Address]])-1)</f>
        <v>3560</v>
      </c>
      <c r="O118" s="16">
        <f>raw_data[[#This Row],[Req Date]]</f>
        <v>41641</v>
      </c>
      <c r="P118" s="4">
        <f>YEAR(cleaned_data[[#This Row],[Req Date]])</f>
        <v>2014</v>
      </c>
      <c r="Q118" s="4">
        <f>MONTH(cleaned_data[[#This Row],[Req Date]])</f>
        <v>1</v>
      </c>
      <c r="R118" s="4">
        <f>DAY(cleaned_data[[#This Row],[Req Date]])</f>
        <v>2</v>
      </c>
    </row>
    <row r="119" spans="1:18" ht="15.6" x14ac:dyDescent="0.25">
      <c r="A119" s="4" t="str">
        <f>raw_data[[#This Row],[First Name]]</f>
        <v>Travis</v>
      </c>
      <c r="B119" s="4" t="str">
        <f>raw_data[[#This Row],[Last Name]]</f>
        <v>Alexander</v>
      </c>
      <c r="C119" s="4" t="str">
        <f>TRIM(cleaned_data[[#This Row],[First Name]]&amp; " "&amp;cleaned_data[[#This Row],[Last Name]])</f>
        <v>Travis Alexander</v>
      </c>
      <c r="D119" s="4" t="str">
        <f>raw_data[[#This Row],[Phone]]</f>
        <v>(621) 600-2119</v>
      </c>
      <c r="E119" s="4" t="str">
        <f>MID(cleaned_data[[#This Row],[Phone]],FIND("(",cleaned_data[[#This Row],[Phone]])+1,3)</f>
        <v>621</v>
      </c>
      <c r="F119" s="4" t="str">
        <f>RIGHT(SUBSTITUTE(cleaned_data[[#This Row],[Phone]],"-",""),7)</f>
        <v>6002119</v>
      </c>
      <c r="G119" s="4" t="str">
        <f>SUBSTITUTE(SUBSTITUTE(SUBSTITUTE(cleaned_data[[#This Row],[Phone]],"(",""),")","")," ","")</f>
        <v>621600-2119</v>
      </c>
      <c r="H119" s="4" t="str">
        <f>raw_data[[#This Row],[Street Address]]</f>
        <v>391 Iaculis St.</v>
      </c>
      <c r="I119" s="4" t="str">
        <f>TRIM(MID(cleaned_data[[#This Row],[Street Address]],FIND(" ",cleaned_data[[#This Row],[Street Address]])+1,LEN(cleaned_data[[#This Row],[Street Address]])))</f>
        <v>Iaculis St.</v>
      </c>
      <c r="J119" s="15" t="str">
        <f>raw_data[[#This Row],[Zipcode]]</f>
        <v>75483</v>
      </c>
      <c r="K119" s="4" t="str">
        <f>cleaned_data[[#This Row],[Zipcode]]&amp;" - "&amp;cleaned_data[[#This Row],[Street Name]]</f>
        <v>75483 - Iaculis St.</v>
      </c>
      <c r="L119" s="4" t="str">
        <f>LEFT(cleaned_data[[#This Row],[First Name]],3)&amp;LEFT(cleaned_data[[#This Row],[Last Name]],3)&amp;cleaned_data[[#This Row],[Area Code]]</f>
        <v>TraAle621</v>
      </c>
      <c r="M119" s="4" t="str">
        <f>SUBSTITUTE(cleaned_data[[#This Row],[Street Address]],"St.","Street")</f>
        <v>391 Iaculis Street</v>
      </c>
      <c r="N119" s="4" t="str">
        <f>LEFT(cleaned_data[[#This Row],[Street Address]],FIND(" ",cleaned_data[[#This Row],[Street Address]])-1)</f>
        <v>391</v>
      </c>
      <c r="O119" s="16">
        <f>raw_data[[#This Row],[Req Date]]</f>
        <v>41664</v>
      </c>
      <c r="P119" s="4">
        <f>YEAR(cleaned_data[[#This Row],[Req Date]])</f>
        <v>2014</v>
      </c>
      <c r="Q119" s="4">
        <f>MONTH(cleaned_data[[#This Row],[Req Date]])</f>
        <v>1</v>
      </c>
      <c r="R119" s="4">
        <f>DAY(cleaned_data[[#This Row],[Req Date]])</f>
        <v>25</v>
      </c>
    </row>
    <row r="120" spans="1:18" ht="15.6" x14ac:dyDescent="0.25">
      <c r="A120" s="4" t="str">
        <f>raw_data[[#This Row],[First Name]]</f>
        <v>Eliana</v>
      </c>
      <c r="B120" s="4" t="str">
        <f>raw_data[[#This Row],[Last Name]]</f>
        <v>Landry</v>
      </c>
      <c r="C120" s="4" t="str">
        <f>TRIM(cleaned_data[[#This Row],[First Name]]&amp; " "&amp;cleaned_data[[#This Row],[Last Name]])</f>
        <v>Eliana Landry</v>
      </c>
      <c r="D120" s="4" t="str">
        <f>raw_data[[#This Row],[Phone]]</f>
        <v>(671) 601-8444</v>
      </c>
      <c r="E120" s="4" t="str">
        <f>MID(cleaned_data[[#This Row],[Phone]],FIND("(",cleaned_data[[#This Row],[Phone]])+1,3)</f>
        <v>671</v>
      </c>
      <c r="F120" s="4" t="str">
        <f>RIGHT(SUBSTITUTE(cleaned_data[[#This Row],[Phone]],"-",""),7)</f>
        <v>6018444</v>
      </c>
      <c r="G120" s="4" t="str">
        <f>SUBSTITUTE(SUBSTITUTE(SUBSTITUTE(cleaned_data[[#This Row],[Phone]],"(",""),")","")," ","")</f>
        <v>671601-8444</v>
      </c>
      <c r="H120" s="4" t="str">
        <f>raw_data[[#This Row],[Street Address]]</f>
        <v>7097 Queso Rd.</v>
      </c>
      <c r="I120" s="4" t="str">
        <f>TRIM(MID(cleaned_data[[#This Row],[Street Address]],FIND(" ",cleaned_data[[#This Row],[Street Address]])+1,LEN(cleaned_data[[#This Row],[Street Address]])))</f>
        <v>Queso Rd.</v>
      </c>
      <c r="J120" s="15" t="str">
        <f>raw_data[[#This Row],[Zipcode]]</f>
        <v>75485</v>
      </c>
      <c r="K120" s="4" t="str">
        <f>cleaned_data[[#This Row],[Zipcode]]&amp;" - "&amp;cleaned_data[[#This Row],[Street Name]]</f>
        <v>75485 - Queso Rd.</v>
      </c>
      <c r="L120" s="4" t="str">
        <f>LEFT(cleaned_data[[#This Row],[First Name]],3)&amp;LEFT(cleaned_data[[#This Row],[Last Name]],3)&amp;cleaned_data[[#This Row],[Area Code]]</f>
        <v>EliLan671</v>
      </c>
      <c r="M120" s="4" t="str">
        <f>SUBSTITUTE(cleaned_data[[#This Row],[Street Address]],"St.","Street")</f>
        <v>7097 Queso Rd.</v>
      </c>
      <c r="N120" s="4" t="str">
        <f>LEFT(cleaned_data[[#This Row],[Street Address]],FIND(" ",cleaned_data[[#This Row],[Street Address]])-1)</f>
        <v>7097</v>
      </c>
      <c r="O120" s="16">
        <f>raw_data[[#This Row],[Req Date]]</f>
        <v>41693</v>
      </c>
      <c r="P120" s="4">
        <f>YEAR(cleaned_data[[#This Row],[Req Date]])</f>
        <v>2014</v>
      </c>
      <c r="Q120" s="4">
        <f>MONTH(cleaned_data[[#This Row],[Req Date]])</f>
        <v>2</v>
      </c>
      <c r="R120" s="4">
        <f>DAY(cleaned_data[[#This Row],[Req Date]])</f>
        <v>23</v>
      </c>
    </row>
    <row r="121" spans="1:18" ht="15.6" x14ac:dyDescent="0.25">
      <c r="A121" s="4" t="str">
        <f>raw_data[[#This Row],[First Name]]</f>
        <v>Veronica</v>
      </c>
      <c r="B121" s="4" t="str">
        <f>raw_data[[#This Row],[Last Name]]</f>
        <v>Shaffer</v>
      </c>
      <c r="C121" s="4" t="str">
        <f>TRIM(cleaned_data[[#This Row],[First Name]]&amp; " "&amp;cleaned_data[[#This Row],[Last Name]])</f>
        <v>Veronica Shaffer</v>
      </c>
      <c r="D121" s="4" t="str">
        <f>raw_data[[#This Row],[Phone]]</f>
        <v>(438) 850-6764</v>
      </c>
      <c r="E121" s="4" t="str">
        <f>MID(cleaned_data[[#This Row],[Phone]],FIND("(",cleaned_data[[#This Row],[Phone]])+1,3)</f>
        <v>438</v>
      </c>
      <c r="F121" s="4" t="str">
        <f>RIGHT(SUBSTITUTE(cleaned_data[[#This Row],[Phone]],"-",""),7)</f>
        <v>8506764</v>
      </c>
      <c r="G121" s="4" t="str">
        <f>SUBSTITUTE(SUBSTITUTE(SUBSTITUTE(cleaned_data[[#This Row],[Phone]],"(",""),")","")," ","")</f>
        <v>438850-6764</v>
      </c>
      <c r="H121" s="4" t="str">
        <f>raw_data[[#This Row],[Street Address]]</f>
        <v>166 Synagogue Drive</v>
      </c>
      <c r="I121" s="4" t="str">
        <f>TRIM(MID(cleaned_data[[#This Row],[Street Address]],FIND(" ",cleaned_data[[#This Row],[Street Address]])+1,LEN(cleaned_data[[#This Row],[Street Address]])))</f>
        <v>Synagogue Drive</v>
      </c>
      <c r="J121" s="15" t="str">
        <f>raw_data[[#This Row],[Zipcode]]</f>
        <v>75486</v>
      </c>
      <c r="K121" s="4" t="str">
        <f>cleaned_data[[#This Row],[Zipcode]]&amp;" - "&amp;cleaned_data[[#This Row],[Street Name]]</f>
        <v>75486 - Synagogue Drive</v>
      </c>
      <c r="L121" s="4" t="str">
        <f>LEFT(cleaned_data[[#This Row],[First Name]],3)&amp;LEFT(cleaned_data[[#This Row],[Last Name]],3)&amp;cleaned_data[[#This Row],[Area Code]]</f>
        <v>VerSha438</v>
      </c>
      <c r="M121" s="4" t="str">
        <f>SUBSTITUTE(cleaned_data[[#This Row],[Street Address]],"St.","Street")</f>
        <v>166 Synagogue Drive</v>
      </c>
      <c r="N121" s="4" t="str">
        <f>LEFT(cleaned_data[[#This Row],[Street Address]],FIND(" ",cleaned_data[[#This Row],[Street Address]])-1)</f>
        <v>166</v>
      </c>
      <c r="O121" s="16">
        <f>raw_data[[#This Row],[Req Date]]</f>
        <v>41637</v>
      </c>
      <c r="P121" s="4">
        <f>YEAR(cleaned_data[[#This Row],[Req Date]])</f>
        <v>2013</v>
      </c>
      <c r="Q121" s="4">
        <f>MONTH(cleaned_data[[#This Row],[Req Date]])</f>
        <v>12</v>
      </c>
      <c r="R121" s="4">
        <f>DAY(cleaned_data[[#This Row],[Req Date]])</f>
        <v>29</v>
      </c>
    </row>
    <row r="122" spans="1:18" ht="15.6" x14ac:dyDescent="0.25">
      <c r="A122" s="4" t="str">
        <f>raw_data[[#This Row],[First Name]]</f>
        <v>Kaden</v>
      </c>
      <c r="B122" s="4" t="str">
        <f>raw_data[[#This Row],[Last Name]]</f>
        <v>Kirkland</v>
      </c>
      <c r="C122" s="4" t="str">
        <f>TRIM(cleaned_data[[#This Row],[First Name]]&amp; " "&amp;cleaned_data[[#This Row],[Last Name]])</f>
        <v>Kaden Kirkland</v>
      </c>
      <c r="D122" s="4" t="str">
        <f>raw_data[[#This Row],[Phone]]</f>
        <v>(846) 176-0004</v>
      </c>
      <c r="E122" s="4" t="str">
        <f>MID(cleaned_data[[#This Row],[Phone]],FIND("(",cleaned_data[[#This Row],[Phone]])+1,3)</f>
        <v>846</v>
      </c>
      <c r="F122" s="4" t="str">
        <f>RIGHT(SUBSTITUTE(cleaned_data[[#This Row],[Phone]],"-",""),7)</f>
        <v>1760004</v>
      </c>
      <c r="G122" s="4" t="str">
        <f>SUBSTITUTE(SUBSTITUTE(SUBSTITUTE(cleaned_data[[#This Row],[Phone]],"(",""),")","")," ","")</f>
        <v>846176-0004</v>
      </c>
      <c r="H122" s="4" t="str">
        <f>raw_data[[#This Row],[Street Address]]</f>
        <v>9651 Selma Ave.</v>
      </c>
      <c r="I122" s="4" t="str">
        <f>TRIM(MID(cleaned_data[[#This Row],[Street Address]],FIND(" ",cleaned_data[[#This Row],[Street Address]])+1,LEN(cleaned_data[[#This Row],[Street Address]])))</f>
        <v>Selma Ave.</v>
      </c>
      <c r="J122" s="15" t="str">
        <f>raw_data[[#This Row],[Zipcode]]</f>
        <v>75487</v>
      </c>
      <c r="K122" s="4" t="str">
        <f>cleaned_data[[#This Row],[Zipcode]]&amp;" - "&amp;cleaned_data[[#This Row],[Street Name]]</f>
        <v>75487 - Selma Ave.</v>
      </c>
      <c r="L122" s="4" t="str">
        <f>LEFT(cleaned_data[[#This Row],[First Name]],3)&amp;LEFT(cleaned_data[[#This Row],[Last Name]],3)&amp;cleaned_data[[#This Row],[Area Code]]</f>
        <v>KadKir846</v>
      </c>
      <c r="M122" s="4" t="str">
        <f>SUBSTITUTE(cleaned_data[[#This Row],[Street Address]],"St.","Street")</f>
        <v>9651 Selma Ave.</v>
      </c>
      <c r="N122" s="4" t="str">
        <f>LEFT(cleaned_data[[#This Row],[Street Address]],FIND(" ",cleaned_data[[#This Row],[Street Address]])-1)</f>
        <v>9651</v>
      </c>
      <c r="O122" s="16">
        <f>raw_data[[#This Row],[Req Date]]</f>
        <v>41622</v>
      </c>
      <c r="P122" s="4">
        <f>YEAR(cleaned_data[[#This Row],[Req Date]])</f>
        <v>2013</v>
      </c>
      <c r="Q122" s="4">
        <f>MONTH(cleaned_data[[#This Row],[Req Date]])</f>
        <v>12</v>
      </c>
      <c r="R122" s="4">
        <f>DAY(cleaned_data[[#This Row],[Req Date]])</f>
        <v>14</v>
      </c>
    </row>
    <row r="123" spans="1:18" ht="15.6" x14ac:dyDescent="0.25">
      <c r="A123" s="4" t="str">
        <f>raw_data[[#This Row],[First Name]]</f>
        <v>Rhea</v>
      </c>
      <c r="B123" s="4" t="str">
        <f>raw_data[[#This Row],[Last Name]]</f>
        <v>Mcgee</v>
      </c>
      <c r="C123" s="4" t="str">
        <f>TRIM(cleaned_data[[#This Row],[First Name]]&amp; " "&amp;cleaned_data[[#This Row],[Last Name]])</f>
        <v>Rhea Mcgee</v>
      </c>
      <c r="D123" s="4" t="str">
        <f>raw_data[[#This Row],[Phone]]</f>
        <v>(843) 414-8627</v>
      </c>
      <c r="E123" s="4" t="str">
        <f>MID(cleaned_data[[#This Row],[Phone]],FIND("(",cleaned_data[[#This Row],[Phone]])+1,3)</f>
        <v>843</v>
      </c>
      <c r="F123" s="4" t="str">
        <f>RIGHT(SUBSTITUTE(cleaned_data[[#This Row],[Phone]],"-",""),7)</f>
        <v>4148627</v>
      </c>
      <c r="G123" s="4" t="str">
        <f>SUBSTITUTE(SUBSTITUTE(SUBSTITUTE(cleaned_data[[#This Row],[Phone]],"(",""),")","")," ","")</f>
        <v>843414-8627</v>
      </c>
      <c r="H123" s="4" t="str">
        <f>raw_data[[#This Row],[Street Address]]</f>
        <v>8098 Nisi Ave.</v>
      </c>
      <c r="I123" s="4" t="str">
        <f>TRIM(MID(cleaned_data[[#This Row],[Street Address]],FIND(" ",cleaned_data[[#This Row],[Street Address]])+1,LEN(cleaned_data[[#This Row],[Street Address]])))</f>
        <v>Nisi Ave.</v>
      </c>
      <c r="J123" s="15" t="str">
        <f>raw_data[[#This Row],[Zipcode]]</f>
        <v>75488</v>
      </c>
      <c r="K123" s="4" t="str">
        <f>cleaned_data[[#This Row],[Zipcode]]&amp;" - "&amp;cleaned_data[[#This Row],[Street Name]]</f>
        <v>75488 - Nisi Ave.</v>
      </c>
      <c r="L123" s="4" t="str">
        <f>LEFT(cleaned_data[[#This Row],[First Name]],3)&amp;LEFT(cleaned_data[[#This Row],[Last Name]],3)&amp;cleaned_data[[#This Row],[Area Code]]</f>
        <v>RheMcg843</v>
      </c>
      <c r="M123" s="4" t="str">
        <f>SUBSTITUTE(cleaned_data[[#This Row],[Street Address]],"St.","Street")</f>
        <v>8098 Nisi Ave.</v>
      </c>
      <c r="N123" s="4" t="str">
        <f>LEFT(cleaned_data[[#This Row],[Street Address]],FIND(" ",cleaned_data[[#This Row],[Street Address]])-1)</f>
        <v>8098</v>
      </c>
      <c r="O123" s="16">
        <f>raw_data[[#This Row],[Req Date]]</f>
        <v>41620</v>
      </c>
      <c r="P123" s="4">
        <f>YEAR(cleaned_data[[#This Row],[Req Date]])</f>
        <v>2013</v>
      </c>
      <c r="Q123" s="4">
        <f>MONTH(cleaned_data[[#This Row],[Req Date]])</f>
        <v>12</v>
      </c>
      <c r="R123" s="4">
        <f>DAY(cleaned_data[[#This Row],[Req Date]])</f>
        <v>12</v>
      </c>
    </row>
    <row r="124" spans="1:18" ht="15.6" x14ac:dyDescent="0.25">
      <c r="A124" s="4" t="str">
        <f>raw_data[[#This Row],[First Name]]</f>
        <v>Shelby</v>
      </c>
      <c r="B124" s="4" t="str">
        <f>raw_data[[#This Row],[Last Name]]</f>
        <v>Stanton</v>
      </c>
      <c r="C124" s="4" t="str">
        <f>TRIM(cleaned_data[[#This Row],[First Name]]&amp; " "&amp;cleaned_data[[#This Row],[Last Name]])</f>
        <v>Shelby Stanton</v>
      </c>
      <c r="D124" s="4" t="str">
        <f>raw_data[[#This Row],[Phone]]</f>
        <v>(700) 308-1469</v>
      </c>
      <c r="E124" s="4" t="str">
        <f>MID(cleaned_data[[#This Row],[Phone]],FIND("(",cleaned_data[[#This Row],[Phone]])+1,3)</f>
        <v>700</v>
      </c>
      <c r="F124" s="4" t="str">
        <f>RIGHT(SUBSTITUTE(cleaned_data[[#This Row],[Phone]],"-",""),7)</f>
        <v>3081469</v>
      </c>
      <c r="G124" s="4" t="str">
        <f>SUBSTITUTE(SUBSTITUTE(SUBSTITUTE(cleaned_data[[#This Row],[Phone]],"(",""),")","")," ","")</f>
        <v>700308-1469</v>
      </c>
      <c r="H124" s="4" t="str">
        <f>raw_data[[#This Row],[Street Address]]</f>
        <v>4011 Lectus Ave.</v>
      </c>
      <c r="I124" s="4" t="str">
        <f>TRIM(MID(cleaned_data[[#This Row],[Street Address]],FIND(" ",cleaned_data[[#This Row],[Street Address]])+1,LEN(cleaned_data[[#This Row],[Street Address]])))</f>
        <v>Lectus Ave.</v>
      </c>
      <c r="J124" s="15" t="str">
        <f>raw_data[[#This Row],[Zipcode]]</f>
        <v>75501</v>
      </c>
      <c r="K124" s="4" t="str">
        <f>cleaned_data[[#This Row],[Zipcode]]&amp;" - "&amp;cleaned_data[[#This Row],[Street Name]]</f>
        <v>75501 - Lectus Ave.</v>
      </c>
      <c r="L124" s="4" t="str">
        <f>LEFT(cleaned_data[[#This Row],[First Name]],3)&amp;LEFT(cleaned_data[[#This Row],[Last Name]],3)&amp;cleaned_data[[#This Row],[Area Code]]</f>
        <v>SheSta700</v>
      </c>
      <c r="M124" s="4" t="str">
        <f>SUBSTITUTE(cleaned_data[[#This Row],[Street Address]],"St.","Street")</f>
        <v>4011 Lectus Ave.</v>
      </c>
      <c r="N124" s="4" t="str">
        <f>LEFT(cleaned_data[[#This Row],[Street Address]],FIND(" ",cleaned_data[[#This Row],[Street Address]])-1)</f>
        <v>4011</v>
      </c>
      <c r="O124" s="16">
        <f>raw_data[[#This Row],[Req Date]]</f>
        <v>41672</v>
      </c>
      <c r="P124" s="4">
        <f>YEAR(cleaned_data[[#This Row],[Req Date]])</f>
        <v>2014</v>
      </c>
      <c r="Q124" s="4">
        <f>MONTH(cleaned_data[[#This Row],[Req Date]])</f>
        <v>2</v>
      </c>
      <c r="R124" s="4">
        <f>DAY(cleaned_data[[#This Row],[Req Date]])</f>
        <v>2</v>
      </c>
    </row>
    <row r="125" spans="1:18" ht="15.6" x14ac:dyDescent="0.25">
      <c r="A125" s="4" t="str">
        <f>raw_data[[#This Row],[First Name]]</f>
        <v>Nicholas</v>
      </c>
      <c r="B125" s="4" t="str">
        <f>raw_data[[#This Row],[Last Name]]</f>
        <v>Neal</v>
      </c>
      <c r="C125" s="4" t="str">
        <f>TRIM(cleaned_data[[#This Row],[First Name]]&amp; " "&amp;cleaned_data[[#This Row],[Last Name]])</f>
        <v>Nicholas Neal</v>
      </c>
      <c r="D125" s="4" t="str">
        <f>raw_data[[#This Row],[Phone]]</f>
        <v>(254) 882-3194</v>
      </c>
      <c r="E125" s="4" t="str">
        <f>MID(cleaned_data[[#This Row],[Phone]],FIND("(",cleaned_data[[#This Row],[Phone]])+1,3)</f>
        <v>254</v>
      </c>
      <c r="F125" s="4" t="str">
        <f>RIGHT(SUBSTITUTE(cleaned_data[[#This Row],[Phone]],"-",""),7)</f>
        <v>8823194</v>
      </c>
      <c r="G125" s="4" t="str">
        <f>SUBSTITUTE(SUBSTITUTE(SUBSTITUTE(cleaned_data[[#This Row],[Phone]],"(",""),")","")," ","")</f>
        <v>254882-3194</v>
      </c>
      <c r="H125" s="4" t="str">
        <f>raw_data[[#This Row],[Street Address]]</f>
        <v>4290 Mauris Street</v>
      </c>
      <c r="I125" s="4" t="str">
        <f>TRIM(MID(cleaned_data[[#This Row],[Street Address]],FIND(" ",cleaned_data[[#This Row],[Street Address]])+1,LEN(cleaned_data[[#This Row],[Street Address]])))</f>
        <v>Mauris Street</v>
      </c>
      <c r="J125" s="15" t="str">
        <f>raw_data[[#This Row],[Zipcode]]</f>
        <v>75963</v>
      </c>
      <c r="K125" s="4" t="str">
        <f>cleaned_data[[#This Row],[Zipcode]]&amp;" - "&amp;cleaned_data[[#This Row],[Street Name]]</f>
        <v>75963 - Mauris Street</v>
      </c>
      <c r="L125" s="4" t="str">
        <f>LEFT(cleaned_data[[#This Row],[First Name]],3)&amp;LEFT(cleaned_data[[#This Row],[Last Name]],3)&amp;cleaned_data[[#This Row],[Area Code]]</f>
        <v>NicNea254</v>
      </c>
      <c r="M125" s="4" t="str">
        <f>SUBSTITUTE(cleaned_data[[#This Row],[Street Address]],"St.","Street")</f>
        <v>4290 Mauris Street</v>
      </c>
      <c r="N125" s="4" t="str">
        <f>LEFT(cleaned_data[[#This Row],[Street Address]],FIND(" ",cleaned_data[[#This Row],[Street Address]])-1)</f>
        <v>4290</v>
      </c>
      <c r="O125" s="16">
        <f>raw_data[[#This Row],[Req Date]]</f>
        <v>41608</v>
      </c>
      <c r="P125" s="4">
        <f>YEAR(cleaned_data[[#This Row],[Req Date]])</f>
        <v>2013</v>
      </c>
      <c r="Q125" s="4">
        <f>MONTH(cleaned_data[[#This Row],[Req Date]])</f>
        <v>11</v>
      </c>
      <c r="R125" s="4">
        <f>DAY(cleaned_data[[#This Row],[Req Date]])</f>
        <v>30</v>
      </c>
    </row>
    <row r="126" spans="1:18" ht="15.6" x14ac:dyDescent="0.25">
      <c r="A126" s="4" t="str">
        <f>raw_data[[#This Row],[First Name]]</f>
        <v>Martena</v>
      </c>
      <c r="B126" s="4" t="str">
        <f>raw_data[[#This Row],[Last Name]]</f>
        <v>Hebert</v>
      </c>
      <c r="C126" s="4" t="str">
        <f>TRIM(cleaned_data[[#This Row],[First Name]]&amp; " "&amp;cleaned_data[[#This Row],[Last Name]])</f>
        <v>Martena Hebert</v>
      </c>
      <c r="D126" s="4" t="str">
        <f>raw_data[[#This Row],[Phone]]</f>
        <v>(966) 942-6041</v>
      </c>
      <c r="E126" s="4" t="str">
        <f>MID(cleaned_data[[#This Row],[Phone]],FIND("(",cleaned_data[[#This Row],[Phone]])+1,3)</f>
        <v>966</v>
      </c>
      <c r="F126" s="4" t="str">
        <f>RIGHT(SUBSTITUTE(cleaned_data[[#This Row],[Phone]],"-",""),7)</f>
        <v>9426041</v>
      </c>
      <c r="G126" s="4" t="str">
        <f>SUBSTITUTE(SUBSTITUTE(SUBSTITUTE(cleaned_data[[#This Row],[Phone]],"(",""),")","")," ","")</f>
        <v>966942-6041</v>
      </c>
      <c r="H126" s="4" t="str">
        <f>raw_data[[#This Row],[Street Address]]</f>
        <v>6836 Gravida Street</v>
      </c>
      <c r="I126" s="4" t="str">
        <f>TRIM(MID(cleaned_data[[#This Row],[Street Address]],FIND(" ",cleaned_data[[#This Row],[Street Address]])+1,LEN(cleaned_data[[#This Row],[Street Address]])))</f>
        <v>Gravida Street</v>
      </c>
      <c r="J126" s="15" t="str">
        <f>raw_data[[#This Row],[Zipcode]]</f>
        <v>76101</v>
      </c>
      <c r="K126" s="4" t="str">
        <f>cleaned_data[[#This Row],[Zipcode]]&amp;" - "&amp;cleaned_data[[#This Row],[Street Name]]</f>
        <v>76101 - Gravida Street</v>
      </c>
      <c r="L126" s="4" t="str">
        <f>LEFT(cleaned_data[[#This Row],[First Name]],3)&amp;LEFT(cleaned_data[[#This Row],[Last Name]],3)&amp;cleaned_data[[#This Row],[Area Code]]</f>
        <v>MarHeb966</v>
      </c>
      <c r="M126" s="4" t="str">
        <f>SUBSTITUTE(cleaned_data[[#This Row],[Street Address]],"St.","Street")</f>
        <v>6836 Gravida Street</v>
      </c>
      <c r="N126" s="4" t="str">
        <f>LEFT(cleaned_data[[#This Row],[Street Address]],FIND(" ",cleaned_data[[#This Row],[Street Address]])-1)</f>
        <v>6836</v>
      </c>
      <c r="O126" s="16">
        <f>raw_data[[#This Row],[Req Date]]</f>
        <v>41677</v>
      </c>
      <c r="P126" s="4">
        <f>YEAR(cleaned_data[[#This Row],[Req Date]])</f>
        <v>2014</v>
      </c>
      <c r="Q126" s="4">
        <f>MONTH(cleaned_data[[#This Row],[Req Date]])</f>
        <v>2</v>
      </c>
      <c r="R126" s="4">
        <f>DAY(cleaned_data[[#This Row],[Req Date]])</f>
        <v>7</v>
      </c>
    </row>
    <row r="127" spans="1:18" ht="15.6" x14ac:dyDescent="0.25">
      <c r="A127" s="4" t="str">
        <f>raw_data[[#This Row],[First Name]]</f>
        <v>Nerea</v>
      </c>
      <c r="B127" s="4" t="str">
        <f>raw_data[[#This Row],[Last Name]]</f>
        <v>Case</v>
      </c>
      <c r="C127" s="4" t="str">
        <f>TRIM(cleaned_data[[#This Row],[First Name]]&amp; " "&amp;cleaned_data[[#This Row],[Last Name]])</f>
        <v>Nerea Case</v>
      </c>
      <c r="D127" s="4" t="str">
        <f>raw_data[[#This Row],[Phone]]</f>
        <v>(698) 655-5552</v>
      </c>
      <c r="E127" s="4" t="str">
        <f>MID(cleaned_data[[#This Row],[Phone]],FIND("(",cleaned_data[[#This Row],[Phone]])+1,3)</f>
        <v>698</v>
      </c>
      <c r="F127" s="4" t="str">
        <f>RIGHT(SUBSTITUTE(cleaned_data[[#This Row],[Phone]],"-",""),7)</f>
        <v>6555552</v>
      </c>
      <c r="G127" s="4" t="str">
        <f>SUBSTITUTE(SUBSTITUTE(SUBSTITUTE(cleaned_data[[#This Row],[Phone]],"(",""),")","")," ","")</f>
        <v>698655-5552</v>
      </c>
      <c r="H127" s="4" t="str">
        <f>raw_data[[#This Row],[Street Address]]</f>
        <v>912 Church Rd.</v>
      </c>
      <c r="I127" s="4" t="str">
        <f>TRIM(MID(cleaned_data[[#This Row],[Street Address]],FIND(" ",cleaned_data[[#This Row],[Street Address]])+1,LEN(cleaned_data[[#This Row],[Street Address]])))</f>
        <v>Church Rd.</v>
      </c>
      <c r="J127" s="15" t="str">
        <f>raw_data[[#This Row],[Zipcode]]</f>
        <v>81656</v>
      </c>
      <c r="K127" s="4" t="str">
        <f>cleaned_data[[#This Row],[Zipcode]]&amp;" - "&amp;cleaned_data[[#This Row],[Street Name]]</f>
        <v>81656 - Church Rd.</v>
      </c>
      <c r="L127" s="4" t="str">
        <f>LEFT(cleaned_data[[#This Row],[First Name]],3)&amp;LEFT(cleaned_data[[#This Row],[Last Name]],3)&amp;cleaned_data[[#This Row],[Area Code]]</f>
        <v>NerCas698</v>
      </c>
      <c r="M127" s="4" t="str">
        <f>SUBSTITUTE(cleaned_data[[#This Row],[Street Address]],"St.","Street")</f>
        <v>912 Church Rd.</v>
      </c>
      <c r="N127" s="4" t="str">
        <f>LEFT(cleaned_data[[#This Row],[Street Address]],FIND(" ",cleaned_data[[#This Row],[Street Address]])-1)</f>
        <v>912</v>
      </c>
      <c r="O127" s="16">
        <f>raw_data[[#This Row],[Req Date]]</f>
        <v>41680</v>
      </c>
      <c r="P127" s="4">
        <f>YEAR(cleaned_data[[#This Row],[Req Date]])</f>
        <v>2014</v>
      </c>
      <c r="Q127" s="4">
        <f>MONTH(cleaned_data[[#This Row],[Req Date]])</f>
        <v>2</v>
      </c>
      <c r="R127" s="4">
        <f>DAY(cleaned_data[[#This Row],[Req Date]])</f>
        <v>10</v>
      </c>
    </row>
    <row r="128" spans="1:18" ht="15.6" x14ac:dyDescent="0.25">
      <c r="A128" s="4" t="str">
        <f>raw_data[[#This Row],[First Name]]</f>
        <v>Tyrone</v>
      </c>
      <c r="B128" s="4" t="str">
        <f>raw_data[[#This Row],[Last Name]]</f>
        <v>Duran</v>
      </c>
      <c r="C128" s="4" t="str">
        <f>TRIM(cleaned_data[[#This Row],[First Name]]&amp; " "&amp;cleaned_data[[#This Row],[Last Name]])</f>
        <v>Tyrone Duran</v>
      </c>
      <c r="D128" s="4" t="str">
        <f>raw_data[[#This Row],[Phone]]</f>
        <v>(470) 777-0130</v>
      </c>
      <c r="E128" s="4" t="str">
        <f>MID(cleaned_data[[#This Row],[Phone]],FIND("(",cleaned_data[[#This Row],[Phone]])+1,3)</f>
        <v>470</v>
      </c>
      <c r="F128" s="4" t="str">
        <f>RIGHT(SUBSTITUTE(cleaned_data[[#This Row],[Phone]],"-",""),7)</f>
        <v>7770130</v>
      </c>
      <c r="G128" s="4" t="str">
        <f>SUBSTITUTE(SUBSTITUTE(SUBSTITUTE(cleaned_data[[#This Row],[Phone]],"(",""),")","")," ","")</f>
        <v>470777-0130</v>
      </c>
      <c r="H128" s="4" t="str">
        <f>raw_data[[#This Row],[Street Address]]</f>
        <v>5375 Auctor Ave.</v>
      </c>
      <c r="I128" s="4" t="str">
        <f>TRIM(MID(cleaned_data[[#This Row],[Street Address]],FIND(" ",cleaned_data[[#This Row],[Street Address]])+1,LEN(cleaned_data[[#This Row],[Street Address]])))</f>
        <v>Auctor Ave.</v>
      </c>
      <c r="J128" s="15" t="str">
        <f>raw_data[[#This Row],[Zipcode]]</f>
        <v>81657</v>
      </c>
      <c r="K128" s="4" t="str">
        <f>cleaned_data[[#This Row],[Zipcode]]&amp;" - "&amp;cleaned_data[[#This Row],[Street Name]]</f>
        <v>81657 - Auctor Ave.</v>
      </c>
      <c r="L128" s="4" t="str">
        <f>LEFT(cleaned_data[[#This Row],[First Name]],3)&amp;LEFT(cleaned_data[[#This Row],[Last Name]],3)&amp;cleaned_data[[#This Row],[Area Code]]</f>
        <v>TyrDur470</v>
      </c>
      <c r="M128" s="4" t="str">
        <f>SUBSTITUTE(cleaned_data[[#This Row],[Street Address]],"St.","Street")</f>
        <v>5375 Auctor Ave.</v>
      </c>
      <c r="N128" s="4" t="str">
        <f>LEFT(cleaned_data[[#This Row],[Street Address]],FIND(" ",cleaned_data[[#This Row],[Street Address]])-1)</f>
        <v>5375</v>
      </c>
      <c r="O128" s="16">
        <f>raw_data[[#This Row],[Req Date]]</f>
        <v>41644</v>
      </c>
      <c r="P128" s="4">
        <f>YEAR(cleaned_data[[#This Row],[Req Date]])</f>
        <v>2014</v>
      </c>
      <c r="Q128" s="4">
        <f>MONTH(cleaned_data[[#This Row],[Req Date]])</f>
        <v>1</v>
      </c>
      <c r="R128" s="4">
        <f>DAY(cleaned_data[[#This Row],[Req Date]])</f>
        <v>5</v>
      </c>
    </row>
    <row r="129" spans="1:18" ht="15.6" x14ac:dyDescent="0.25">
      <c r="A129" s="4" t="str">
        <f>raw_data[[#This Row],[First Name]]</f>
        <v>Avye</v>
      </c>
      <c r="B129" s="4" t="str">
        <f>raw_data[[#This Row],[Last Name]]</f>
        <v>Rush</v>
      </c>
      <c r="C129" s="4" t="str">
        <f>TRIM(cleaned_data[[#This Row],[First Name]]&amp; " "&amp;cleaned_data[[#This Row],[Last Name]])</f>
        <v>Avye Rush</v>
      </c>
      <c r="D129" s="4" t="str">
        <f>raw_data[[#This Row],[Phone]]</f>
        <v>(488) 601-6954</v>
      </c>
      <c r="E129" s="4" t="str">
        <f>MID(cleaned_data[[#This Row],[Phone]],FIND("(",cleaned_data[[#This Row],[Phone]])+1,3)</f>
        <v>488</v>
      </c>
      <c r="F129" s="4" t="str">
        <f>RIGHT(SUBSTITUTE(cleaned_data[[#This Row],[Phone]],"-",""),7)</f>
        <v>6016954</v>
      </c>
      <c r="G129" s="4" t="str">
        <f>SUBSTITUTE(SUBSTITUTE(SUBSTITUTE(cleaned_data[[#This Row],[Phone]],"(",""),")","")," ","")</f>
        <v>488601-6954</v>
      </c>
      <c r="H129" s="4" t="str">
        <f>raw_data[[#This Row],[Street Address]]</f>
        <v>3601 Imperdiet Street</v>
      </c>
      <c r="I129" s="4" t="str">
        <f>TRIM(MID(cleaned_data[[#This Row],[Street Address]],FIND(" ",cleaned_data[[#This Row],[Street Address]])+1,LEN(cleaned_data[[#This Row],[Street Address]])))</f>
        <v>Imperdiet Street</v>
      </c>
      <c r="J129" s="15" t="str">
        <f>raw_data[[#This Row],[Zipcode]]</f>
        <v>83287</v>
      </c>
      <c r="K129" s="4" t="str">
        <f>cleaned_data[[#This Row],[Zipcode]]&amp;" - "&amp;cleaned_data[[#This Row],[Street Name]]</f>
        <v>83287 - Imperdiet Street</v>
      </c>
      <c r="L129" s="4" t="str">
        <f>LEFT(cleaned_data[[#This Row],[First Name]],3)&amp;LEFT(cleaned_data[[#This Row],[Last Name]],3)&amp;cleaned_data[[#This Row],[Area Code]]</f>
        <v>AvyRus488</v>
      </c>
      <c r="M129" s="4" t="str">
        <f>SUBSTITUTE(cleaned_data[[#This Row],[Street Address]],"St.","Street")</f>
        <v>3601 Imperdiet Street</v>
      </c>
      <c r="N129" s="4" t="str">
        <f>LEFT(cleaned_data[[#This Row],[Street Address]],FIND(" ",cleaned_data[[#This Row],[Street Address]])-1)</f>
        <v>3601</v>
      </c>
      <c r="O129" s="16">
        <f>raw_data[[#This Row],[Req Date]]</f>
        <v>41644</v>
      </c>
      <c r="P129" s="4">
        <f>YEAR(cleaned_data[[#This Row],[Req Date]])</f>
        <v>2014</v>
      </c>
      <c r="Q129" s="4">
        <f>MONTH(cleaned_data[[#This Row],[Req Date]])</f>
        <v>1</v>
      </c>
      <c r="R129" s="4">
        <f>DAY(cleaned_data[[#This Row],[Req Date]])</f>
        <v>5</v>
      </c>
    </row>
    <row r="130" spans="1:18" ht="15.6" x14ac:dyDescent="0.25">
      <c r="A130" s="4" t="str">
        <f>raw_data[[#This Row],[First Name]]</f>
        <v>Amy</v>
      </c>
      <c r="B130" s="4" t="str">
        <f>raw_data[[#This Row],[Last Name]]</f>
        <v>Head</v>
      </c>
      <c r="C130" s="4" t="str">
        <f>TRIM(cleaned_data[[#This Row],[First Name]]&amp; " "&amp;cleaned_data[[#This Row],[Last Name]])</f>
        <v>Amy Head</v>
      </c>
      <c r="D130" s="4" t="str">
        <f>raw_data[[#This Row],[Phone]]</f>
        <v>(393) 748-6024</v>
      </c>
      <c r="E130" s="4" t="str">
        <f>MID(cleaned_data[[#This Row],[Phone]],FIND("(",cleaned_data[[#This Row],[Phone]])+1,3)</f>
        <v>393</v>
      </c>
      <c r="F130" s="4" t="str">
        <f>RIGHT(SUBSTITUTE(cleaned_data[[#This Row],[Phone]],"-",""),7)</f>
        <v>7486024</v>
      </c>
      <c r="G130" s="4" t="str">
        <f>SUBSTITUTE(SUBSTITUTE(SUBSTITUTE(cleaned_data[[#This Row],[Phone]],"(",""),")","")," ","")</f>
        <v>393748-6024</v>
      </c>
      <c r="H130" s="4" t="str">
        <f>raw_data[[#This Row],[Street Address]]</f>
        <v>5658 Aliquet Ave.</v>
      </c>
      <c r="I130" s="4" t="str">
        <f>TRIM(MID(cleaned_data[[#This Row],[Street Address]],FIND(" ",cleaned_data[[#This Row],[Street Address]])+1,LEN(cleaned_data[[#This Row],[Street Address]])))</f>
        <v>Aliquet Ave.</v>
      </c>
      <c r="J130" s="15" t="str">
        <f>raw_data[[#This Row],[Zipcode]]</f>
        <v>83301</v>
      </c>
      <c r="K130" s="4" t="str">
        <f>cleaned_data[[#This Row],[Zipcode]]&amp;" - "&amp;cleaned_data[[#This Row],[Street Name]]</f>
        <v>83301 - Aliquet Ave.</v>
      </c>
      <c r="L130" s="4" t="str">
        <f>LEFT(cleaned_data[[#This Row],[First Name]],3)&amp;LEFT(cleaned_data[[#This Row],[Last Name]],3)&amp;cleaned_data[[#This Row],[Area Code]]</f>
        <v>AmyHea393</v>
      </c>
      <c r="M130" s="4" t="str">
        <f>SUBSTITUTE(cleaned_data[[#This Row],[Street Address]],"St.","Street")</f>
        <v>5658 Aliquet Ave.</v>
      </c>
      <c r="N130" s="4" t="str">
        <f>LEFT(cleaned_data[[#This Row],[Street Address]],FIND(" ",cleaned_data[[#This Row],[Street Address]])-1)</f>
        <v>5658</v>
      </c>
      <c r="O130" s="16">
        <f>raw_data[[#This Row],[Req Date]]</f>
        <v>41621</v>
      </c>
      <c r="P130" s="4">
        <f>YEAR(cleaned_data[[#This Row],[Req Date]])</f>
        <v>2013</v>
      </c>
      <c r="Q130" s="4">
        <f>MONTH(cleaned_data[[#This Row],[Req Date]])</f>
        <v>12</v>
      </c>
      <c r="R130" s="4">
        <f>DAY(cleaned_data[[#This Row],[Req Date]])</f>
        <v>13</v>
      </c>
    </row>
    <row r="131" spans="1:18" ht="15.6" x14ac:dyDescent="0.25">
      <c r="A131" s="4" t="str">
        <f>raw_data[[#This Row],[First Name]]</f>
        <v>Natalie</v>
      </c>
      <c r="B131" s="4" t="str">
        <f>raw_data[[#This Row],[Last Name]]</f>
        <v>Yates</v>
      </c>
      <c r="C131" s="4" t="str">
        <f>TRIM(cleaned_data[[#This Row],[First Name]]&amp; " "&amp;cleaned_data[[#This Row],[Last Name]])</f>
        <v>Natalie Yates</v>
      </c>
      <c r="D131" s="4" t="str">
        <f>raw_data[[#This Row],[Phone]]</f>
        <v>(527) 827-6705</v>
      </c>
      <c r="E131" s="4" t="str">
        <f>MID(cleaned_data[[#This Row],[Phone]],FIND("(",cleaned_data[[#This Row],[Phone]])+1,3)</f>
        <v>527</v>
      </c>
      <c r="F131" s="4" t="str">
        <f>RIGHT(SUBSTITUTE(cleaned_data[[#This Row],[Phone]],"-",""),7)</f>
        <v>8276705</v>
      </c>
      <c r="G131" s="4" t="str">
        <f>SUBSTITUTE(SUBSTITUTE(SUBSTITUTE(cleaned_data[[#This Row],[Phone]],"(",""),")","")," ","")</f>
        <v>527827-6705</v>
      </c>
      <c r="H131" s="4" t="str">
        <f>raw_data[[#This Row],[Street Address]]</f>
        <v>3935 School Ave.</v>
      </c>
      <c r="I131" s="4" t="str">
        <f>TRIM(MID(cleaned_data[[#This Row],[Street Address]],FIND(" ",cleaned_data[[#This Row],[Street Address]])+1,LEN(cleaned_data[[#This Row],[Street Address]])))</f>
        <v>School Ave.</v>
      </c>
      <c r="J131" s="15" t="str">
        <f>raw_data[[#This Row],[Zipcode]]</f>
        <v>82002</v>
      </c>
      <c r="K131" s="4" t="str">
        <f>cleaned_data[[#This Row],[Zipcode]]&amp;" - "&amp;cleaned_data[[#This Row],[Street Name]]</f>
        <v>82002 - School Ave.</v>
      </c>
      <c r="L131" s="4" t="str">
        <f>LEFT(cleaned_data[[#This Row],[First Name]],3)&amp;LEFT(cleaned_data[[#This Row],[Last Name]],3)&amp;cleaned_data[[#This Row],[Area Code]]</f>
        <v>NatYat527</v>
      </c>
      <c r="M131" s="4" t="str">
        <f>SUBSTITUTE(cleaned_data[[#This Row],[Street Address]],"St.","Street")</f>
        <v>3935 School Ave.</v>
      </c>
      <c r="N131" s="4" t="str">
        <f>LEFT(cleaned_data[[#This Row],[Street Address]],FIND(" ",cleaned_data[[#This Row],[Street Address]])-1)</f>
        <v>3935</v>
      </c>
      <c r="O131" s="16">
        <f>raw_data[[#This Row],[Req Date]]</f>
        <v>41620</v>
      </c>
      <c r="P131" s="4">
        <f>YEAR(cleaned_data[[#This Row],[Req Date]])</f>
        <v>2013</v>
      </c>
      <c r="Q131" s="4">
        <f>MONTH(cleaned_data[[#This Row],[Req Date]])</f>
        <v>12</v>
      </c>
      <c r="R131" s="4">
        <f>DAY(cleaned_data[[#This Row],[Req Date]])</f>
        <v>12</v>
      </c>
    </row>
    <row r="132" spans="1:18" ht="15.6" x14ac:dyDescent="0.25">
      <c r="A132" s="4" t="str">
        <f>raw_data[[#This Row],[First Name]]</f>
        <v>Claire</v>
      </c>
      <c r="B132" s="4" t="str">
        <f>raw_data[[#This Row],[Last Name]]</f>
        <v>Stuart</v>
      </c>
      <c r="C132" s="4" t="str">
        <f>TRIM(cleaned_data[[#This Row],[First Name]]&amp; " "&amp;cleaned_data[[#This Row],[Last Name]])</f>
        <v>Claire Stuart</v>
      </c>
      <c r="D132" s="4" t="str">
        <f>raw_data[[#This Row],[Phone]]</f>
        <v>(986) 487-5227</v>
      </c>
      <c r="E132" s="4" t="str">
        <f>MID(cleaned_data[[#This Row],[Phone]],FIND("(",cleaned_data[[#This Row],[Phone]])+1,3)</f>
        <v>986</v>
      </c>
      <c r="F132" s="4" t="str">
        <f>RIGHT(SUBSTITUTE(cleaned_data[[#This Row],[Phone]],"-",""),7)</f>
        <v>4875227</v>
      </c>
      <c r="G132" s="4" t="str">
        <f>SUBSTITUTE(SUBSTITUTE(SUBSTITUTE(cleaned_data[[#This Row],[Phone]],"(",""),")","")," ","")</f>
        <v>986487-5227</v>
      </c>
      <c r="H132" s="4" t="str">
        <f>raw_data[[#This Row],[Street Address]]</f>
        <v>7232 Leo St.</v>
      </c>
      <c r="I132" s="4" t="str">
        <f>TRIM(MID(cleaned_data[[#This Row],[Street Address]],FIND(" ",cleaned_data[[#This Row],[Street Address]])+1,LEN(cleaned_data[[#This Row],[Street Address]])))</f>
        <v>Leo St.</v>
      </c>
      <c r="J132" s="15" t="str">
        <f>raw_data[[#This Row],[Zipcode]]</f>
        <v>82003</v>
      </c>
      <c r="K132" s="4" t="str">
        <f>cleaned_data[[#This Row],[Zipcode]]&amp;" - "&amp;cleaned_data[[#This Row],[Street Name]]</f>
        <v>82003 - Leo St.</v>
      </c>
      <c r="L132" s="4" t="str">
        <f>LEFT(cleaned_data[[#This Row],[First Name]],3)&amp;LEFT(cleaned_data[[#This Row],[Last Name]],3)&amp;cleaned_data[[#This Row],[Area Code]]</f>
        <v>ClaStu986</v>
      </c>
      <c r="M132" s="4" t="str">
        <f>SUBSTITUTE(cleaned_data[[#This Row],[Street Address]],"St.","Street")</f>
        <v>7232 Leo Street</v>
      </c>
      <c r="N132" s="4" t="str">
        <f>LEFT(cleaned_data[[#This Row],[Street Address]],FIND(" ",cleaned_data[[#This Row],[Street Address]])-1)</f>
        <v>7232</v>
      </c>
      <c r="O132" s="16">
        <f>raw_data[[#This Row],[Req Date]]</f>
        <v>41645</v>
      </c>
      <c r="P132" s="4">
        <f>YEAR(cleaned_data[[#This Row],[Req Date]])</f>
        <v>2014</v>
      </c>
      <c r="Q132" s="4">
        <f>MONTH(cleaned_data[[#This Row],[Req Date]])</f>
        <v>1</v>
      </c>
      <c r="R132" s="4">
        <f>DAY(cleaned_data[[#This Row],[Req Date]])</f>
        <v>6</v>
      </c>
    </row>
    <row r="133" spans="1:18" ht="15.6" x14ac:dyDescent="0.25">
      <c r="A133" s="4" t="str">
        <f>raw_data[[#This Row],[First Name]]</f>
        <v>Odette</v>
      </c>
      <c r="B133" s="4" t="str">
        <f>raw_data[[#This Row],[Last Name]]</f>
        <v>Ray</v>
      </c>
      <c r="C133" s="4" t="str">
        <f>TRIM(cleaned_data[[#This Row],[First Name]]&amp; " "&amp;cleaned_data[[#This Row],[Last Name]])</f>
        <v>Odette Ray</v>
      </c>
      <c r="D133" s="4" t="str">
        <f>raw_data[[#This Row],[Phone]]</f>
        <v>(839) 730-1571</v>
      </c>
      <c r="E133" s="4" t="str">
        <f>MID(cleaned_data[[#This Row],[Phone]],FIND("(",cleaned_data[[#This Row],[Phone]])+1,3)</f>
        <v>839</v>
      </c>
      <c r="F133" s="4" t="str">
        <f>RIGHT(SUBSTITUTE(cleaned_data[[#This Row],[Phone]],"-",""),7)</f>
        <v>7301571</v>
      </c>
      <c r="G133" s="4" t="str">
        <f>SUBSTITUTE(SUBSTITUTE(SUBSTITUTE(cleaned_data[[#This Row],[Phone]],"(",""),")","")," ","")</f>
        <v>839730-1571</v>
      </c>
      <c r="H133" s="4" t="str">
        <f>raw_data[[#This Row],[Street Address]]</f>
        <v>1355 Alive Street</v>
      </c>
      <c r="I133" s="4" t="str">
        <f>TRIM(MID(cleaned_data[[#This Row],[Street Address]],FIND(" ",cleaned_data[[#This Row],[Street Address]])+1,LEN(cleaned_data[[#This Row],[Street Address]])))</f>
        <v>Alive Street</v>
      </c>
      <c r="J133" s="15" t="str">
        <f>raw_data[[#This Row],[Zipcode]]</f>
        <v>82005</v>
      </c>
      <c r="K133" s="4" t="str">
        <f>cleaned_data[[#This Row],[Zipcode]]&amp;" - "&amp;cleaned_data[[#This Row],[Street Name]]</f>
        <v>82005 - Alive Street</v>
      </c>
      <c r="L133" s="4" t="str">
        <f>LEFT(cleaned_data[[#This Row],[First Name]],3)&amp;LEFT(cleaned_data[[#This Row],[Last Name]],3)&amp;cleaned_data[[#This Row],[Area Code]]</f>
        <v>OdeRay839</v>
      </c>
      <c r="M133" s="4" t="str">
        <f>SUBSTITUTE(cleaned_data[[#This Row],[Street Address]],"St.","Street")</f>
        <v>1355 Alive Street</v>
      </c>
      <c r="N133" s="4" t="str">
        <f>LEFT(cleaned_data[[#This Row],[Street Address]],FIND(" ",cleaned_data[[#This Row],[Street Address]])-1)</f>
        <v>1355</v>
      </c>
      <c r="O133" s="16">
        <f>raw_data[[#This Row],[Req Date]]</f>
        <v>41668</v>
      </c>
      <c r="P133" s="4">
        <f>YEAR(cleaned_data[[#This Row],[Req Date]])</f>
        <v>2014</v>
      </c>
      <c r="Q133" s="4">
        <f>MONTH(cleaned_data[[#This Row],[Req Date]])</f>
        <v>1</v>
      </c>
      <c r="R133" s="4">
        <f>DAY(cleaned_data[[#This Row],[Req Date]])</f>
        <v>29</v>
      </c>
    </row>
    <row r="134" spans="1:18" ht="15.6" x14ac:dyDescent="0.25">
      <c r="A134" s="4" t="str">
        <f>raw_data[[#This Row],[First Name]]</f>
        <v>Kyla</v>
      </c>
      <c r="B134" s="4" t="str">
        <f>raw_data[[#This Row],[Last Name]]</f>
        <v>Henson</v>
      </c>
      <c r="C134" s="4" t="str">
        <f>TRIM(cleaned_data[[#This Row],[First Name]]&amp; " "&amp;cleaned_data[[#This Row],[Last Name]])</f>
        <v>Kyla Henson</v>
      </c>
      <c r="D134" s="4" t="str">
        <f>raw_data[[#This Row],[Phone]]</f>
        <v>(259) 434-6139</v>
      </c>
      <c r="E134" s="4" t="str">
        <f>MID(cleaned_data[[#This Row],[Phone]],FIND("(",cleaned_data[[#This Row],[Phone]])+1,3)</f>
        <v>259</v>
      </c>
      <c r="F134" s="4" t="str">
        <f>RIGHT(SUBSTITUTE(cleaned_data[[#This Row],[Phone]],"-",""),7)</f>
        <v>4346139</v>
      </c>
      <c r="G134" s="4" t="str">
        <f>SUBSTITUTE(SUBSTITUTE(SUBSTITUTE(cleaned_data[[#This Row],[Phone]],"(",""),")","")," ","")</f>
        <v>259434-6139</v>
      </c>
      <c r="H134" s="4" t="str">
        <f>raw_data[[#This Row],[Street Address]]</f>
        <v>3285 Name St.</v>
      </c>
      <c r="I134" s="4" t="str">
        <f>TRIM(MID(cleaned_data[[#This Row],[Street Address]],FIND(" ",cleaned_data[[#This Row],[Street Address]])+1,LEN(cleaned_data[[#This Row],[Street Address]])))</f>
        <v>Name St.</v>
      </c>
      <c r="J134" s="15" t="str">
        <f>raw_data[[#This Row],[Zipcode]]</f>
        <v>84081</v>
      </c>
      <c r="K134" s="4" t="str">
        <f>cleaned_data[[#This Row],[Zipcode]]&amp;" - "&amp;cleaned_data[[#This Row],[Street Name]]</f>
        <v>84081 - Name St.</v>
      </c>
      <c r="L134" s="4" t="str">
        <f>LEFT(cleaned_data[[#This Row],[First Name]],3)&amp;LEFT(cleaned_data[[#This Row],[Last Name]],3)&amp;cleaned_data[[#This Row],[Area Code]]</f>
        <v>KylHen259</v>
      </c>
      <c r="M134" s="4" t="str">
        <f>SUBSTITUTE(cleaned_data[[#This Row],[Street Address]],"St.","Street")</f>
        <v>3285 Name Street</v>
      </c>
      <c r="N134" s="4" t="str">
        <f>LEFT(cleaned_data[[#This Row],[Street Address]],FIND(" ",cleaned_data[[#This Row],[Street Address]])-1)</f>
        <v>3285</v>
      </c>
      <c r="O134" s="16">
        <f>raw_data[[#This Row],[Req Date]]</f>
        <v>41670</v>
      </c>
      <c r="P134" s="4">
        <f>YEAR(cleaned_data[[#This Row],[Req Date]])</f>
        <v>2014</v>
      </c>
      <c r="Q134" s="4">
        <f>MONTH(cleaned_data[[#This Row],[Req Date]])</f>
        <v>1</v>
      </c>
      <c r="R134" s="4">
        <f>DAY(cleaned_data[[#This Row],[Req Date]])</f>
        <v>31</v>
      </c>
    </row>
    <row r="135" spans="1:18" ht="15.6" x14ac:dyDescent="0.25">
      <c r="A135" s="4" t="str">
        <f>raw_data[[#This Row],[First Name]]</f>
        <v>Tatyana</v>
      </c>
      <c r="B135" s="4" t="str">
        <f>raw_data[[#This Row],[Last Name]]</f>
        <v>Houston</v>
      </c>
      <c r="C135" s="4" t="str">
        <f>TRIM(cleaned_data[[#This Row],[First Name]]&amp; " "&amp;cleaned_data[[#This Row],[Last Name]])</f>
        <v>Tatyana Houston</v>
      </c>
      <c r="D135" s="4" t="str">
        <f>raw_data[[#This Row],[Phone]]</f>
        <v>(137) 882-6042</v>
      </c>
      <c r="E135" s="4" t="str">
        <f>MID(cleaned_data[[#This Row],[Phone]],FIND("(",cleaned_data[[#This Row],[Phone]])+1,3)</f>
        <v>137</v>
      </c>
      <c r="F135" s="4" t="str">
        <f>RIGHT(SUBSTITUTE(cleaned_data[[#This Row],[Phone]],"-",""),7)</f>
        <v>8826042</v>
      </c>
      <c r="G135" s="4" t="str">
        <f>SUBSTITUTE(SUBSTITUTE(SUBSTITUTE(cleaned_data[[#This Row],[Phone]],"(",""),")","")," ","")</f>
        <v>137882-6042</v>
      </c>
      <c r="H135" s="4" t="str">
        <f>raw_data[[#This Row],[Street Address]]</f>
        <v>4522 Rust Ave.</v>
      </c>
      <c r="I135" s="4" t="str">
        <f>TRIM(MID(cleaned_data[[#This Row],[Street Address]],FIND(" ",cleaned_data[[#This Row],[Street Address]])+1,LEN(cleaned_data[[#This Row],[Street Address]])))</f>
        <v>Rust Ave.</v>
      </c>
      <c r="J135" s="15" t="str">
        <f>raw_data[[#This Row],[Zipcode]]</f>
        <v>84082</v>
      </c>
      <c r="K135" s="4" t="str">
        <f>cleaned_data[[#This Row],[Zipcode]]&amp;" - "&amp;cleaned_data[[#This Row],[Street Name]]</f>
        <v>84082 - Rust Ave.</v>
      </c>
      <c r="L135" s="4" t="str">
        <f>LEFT(cleaned_data[[#This Row],[First Name]],3)&amp;LEFT(cleaned_data[[#This Row],[Last Name]],3)&amp;cleaned_data[[#This Row],[Area Code]]</f>
        <v>TatHou137</v>
      </c>
      <c r="M135" s="4" t="str">
        <f>SUBSTITUTE(cleaned_data[[#This Row],[Street Address]],"St.","Street")</f>
        <v>4522 Rust Ave.</v>
      </c>
      <c r="N135" s="4" t="str">
        <f>LEFT(cleaned_data[[#This Row],[Street Address]],FIND(" ",cleaned_data[[#This Row],[Street Address]])-1)</f>
        <v>4522</v>
      </c>
      <c r="O135" s="16">
        <f>raw_data[[#This Row],[Req Date]]</f>
        <v>41687</v>
      </c>
      <c r="P135" s="4">
        <f>YEAR(cleaned_data[[#This Row],[Req Date]])</f>
        <v>2014</v>
      </c>
      <c r="Q135" s="4">
        <f>MONTH(cleaned_data[[#This Row],[Req Date]])</f>
        <v>2</v>
      </c>
      <c r="R135" s="4">
        <f>DAY(cleaned_data[[#This Row],[Req Date]])</f>
        <v>17</v>
      </c>
    </row>
    <row r="136" spans="1:18" ht="15.6" x14ac:dyDescent="0.25">
      <c r="A136" s="4" t="str">
        <f>raw_data[[#This Row],[First Name]]</f>
        <v>Solomon</v>
      </c>
      <c r="B136" s="4" t="str">
        <f>raw_data[[#This Row],[Last Name]]</f>
        <v>Haynes</v>
      </c>
      <c r="C136" s="4" t="str">
        <f>TRIM(cleaned_data[[#This Row],[First Name]]&amp; " "&amp;cleaned_data[[#This Row],[Last Name]])</f>
        <v>Solomon Haynes</v>
      </c>
      <c r="D136" s="4" t="str">
        <f>raw_data[[#This Row],[Phone]]</f>
        <v>(797) 117-8572</v>
      </c>
      <c r="E136" s="4" t="str">
        <f>MID(cleaned_data[[#This Row],[Phone]],FIND("(",cleaned_data[[#This Row],[Phone]])+1,3)</f>
        <v>797</v>
      </c>
      <c r="F136" s="4" t="str">
        <f>RIGHT(SUBSTITUTE(cleaned_data[[#This Row],[Phone]],"-",""),7)</f>
        <v>1178572</v>
      </c>
      <c r="G136" s="4" t="str">
        <f>SUBSTITUTE(SUBSTITUTE(SUBSTITUTE(cleaned_data[[#This Row],[Phone]],"(",""),")","")," ","")</f>
        <v>797117-8572</v>
      </c>
      <c r="H136" s="4" t="str">
        <f>raw_data[[#This Row],[Street Address]]</f>
        <v>3417 Reservior Rd.</v>
      </c>
      <c r="I136" s="4" t="str">
        <f>TRIM(MID(cleaned_data[[#This Row],[Street Address]],FIND(" ",cleaned_data[[#This Row],[Street Address]])+1,LEN(cleaned_data[[#This Row],[Street Address]])))</f>
        <v>Reservior Rd.</v>
      </c>
      <c r="J136" s="15" t="str">
        <f>raw_data[[#This Row],[Zipcode]]</f>
        <v>85262</v>
      </c>
      <c r="K136" s="4" t="str">
        <f>cleaned_data[[#This Row],[Zipcode]]&amp;" - "&amp;cleaned_data[[#This Row],[Street Name]]</f>
        <v>85262 - Reservior Rd.</v>
      </c>
      <c r="L136" s="4" t="str">
        <f>LEFT(cleaned_data[[#This Row],[First Name]],3)&amp;LEFT(cleaned_data[[#This Row],[Last Name]],3)&amp;cleaned_data[[#This Row],[Area Code]]</f>
        <v>SolHay797</v>
      </c>
      <c r="M136" s="4" t="str">
        <f>SUBSTITUTE(cleaned_data[[#This Row],[Street Address]],"St.","Street")</f>
        <v>3417 Reservior Rd.</v>
      </c>
      <c r="N136" s="4" t="str">
        <f>LEFT(cleaned_data[[#This Row],[Street Address]],FIND(" ",cleaned_data[[#This Row],[Street Address]])-1)</f>
        <v>3417</v>
      </c>
      <c r="O136" s="16">
        <f>raw_data[[#This Row],[Req Date]]</f>
        <v>41697</v>
      </c>
      <c r="P136" s="4">
        <f>YEAR(cleaned_data[[#This Row],[Req Date]])</f>
        <v>2014</v>
      </c>
      <c r="Q136" s="4">
        <f>MONTH(cleaned_data[[#This Row],[Req Date]])</f>
        <v>2</v>
      </c>
      <c r="R136" s="4">
        <f>DAY(cleaned_data[[#This Row],[Req Date]])</f>
        <v>27</v>
      </c>
    </row>
    <row r="137" spans="1:18" ht="15.6" x14ac:dyDescent="0.25">
      <c r="A137" s="4" t="str">
        <f>raw_data[[#This Row],[First Name]]</f>
        <v>Warren</v>
      </c>
      <c r="B137" s="4" t="str">
        <f>raw_data[[#This Row],[Last Name]]</f>
        <v>Lowe</v>
      </c>
      <c r="C137" s="4" t="str">
        <f>TRIM(cleaned_data[[#This Row],[First Name]]&amp; " "&amp;cleaned_data[[#This Row],[Last Name]])</f>
        <v>Warren Lowe</v>
      </c>
      <c r="D137" s="4" t="str">
        <f>raw_data[[#This Row],[Phone]]</f>
        <v>(856) 653-6805</v>
      </c>
      <c r="E137" s="4" t="str">
        <f>MID(cleaned_data[[#This Row],[Phone]],FIND("(",cleaned_data[[#This Row],[Phone]])+1,3)</f>
        <v>856</v>
      </c>
      <c r="F137" s="4" t="str">
        <f>RIGHT(SUBSTITUTE(cleaned_data[[#This Row],[Phone]],"-",""),7)</f>
        <v>6536805</v>
      </c>
      <c r="G137" s="4" t="str">
        <f>SUBSTITUTE(SUBSTITUTE(SUBSTITUTE(cleaned_data[[#This Row],[Phone]],"(",""),")","")," ","")</f>
        <v>856653-6805</v>
      </c>
      <c r="H137" s="4" t="str">
        <f>raw_data[[#This Row],[Street Address]]</f>
        <v>19 Peach Street</v>
      </c>
      <c r="I137" s="4" t="str">
        <f>TRIM(MID(cleaned_data[[#This Row],[Street Address]],FIND(" ",cleaned_data[[#This Row],[Street Address]])+1,LEN(cleaned_data[[#This Row],[Street Address]])))</f>
        <v>Peach Street</v>
      </c>
      <c r="J137" s="15" t="str">
        <f>raw_data[[#This Row],[Zipcode]]</f>
        <v>85263</v>
      </c>
      <c r="K137" s="4" t="str">
        <f>cleaned_data[[#This Row],[Zipcode]]&amp;" - "&amp;cleaned_data[[#This Row],[Street Name]]</f>
        <v>85263 - Peach Street</v>
      </c>
      <c r="L137" s="4" t="str">
        <f>LEFT(cleaned_data[[#This Row],[First Name]],3)&amp;LEFT(cleaned_data[[#This Row],[Last Name]],3)&amp;cleaned_data[[#This Row],[Area Code]]</f>
        <v>WarLow856</v>
      </c>
      <c r="M137" s="4" t="str">
        <f>SUBSTITUTE(cleaned_data[[#This Row],[Street Address]],"St.","Street")</f>
        <v>19 Peach Street</v>
      </c>
      <c r="N137" s="4" t="str">
        <f>LEFT(cleaned_data[[#This Row],[Street Address]],FIND(" ",cleaned_data[[#This Row],[Street Address]])-1)</f>
        <v>19</v>
      </c>
      <c r="O137" s="16">
        <f>raw_data[[#This Row],[Req Date]]</f>
        <v>41678</v>
      </c>
      <c r="P137" s="4">
        <f>YEAR(cleaned_data[[#This Row],[Req Date]])</f>
        <v>2014</v>
      </c>
      <c r="Q137" s="4">
        <f>MONTH(cleaned_data[[#This Row],[Req Date]])</f>
        <v>2</v>
      </c>
      <c r="R137" s="4">
        <f>DAY(cleaned_data[[#This Row],[Req Date]])</f>
        <v>8</v>
      </c>
    </row>
    <row r="138" spans="1:18" ht="15.6" x14ac:dyDescent="0.25">
      <c r="A138" s="4" t="str">
        <f>raw_data[[#This Row],[First Name]]</f>
        <v>Astra</v>
      </c>
      <c r="B138" s="4" t="str">
        <f>raw_data[[#This Row],[Last Name]]</f>
        <v>Duke</v>
      </c>
      <c r="C138" s="4" t="str">
        <f>TRIM(cleaned_data[[#This Row],[First Name]]&amp; " "&amp;cleaned_data[[#This Row],[Last Name]])</f>
        <v>Astra Duke</v>
      </c>
      <c r="D138" s="4" t="str">
        <f>raw_data[[#This Row],[Phone]]</f>
        <v>(496) 677-2947</v>
      </c>
      <c r="E138" s="4" t="str">
        <f>MID(cleaned_data[[#This Row],[Phone]],FIND("(",cleaned_data[[#This Row],[Phone]])+1,3)</f>
        <v>496</v>
      </c>
      <c r="F138" s="4" t="str">
        <f>RIGHT(SUBSTITUTE(cleaned_data[[#This Row],[Phone]],"-",""),7)</f>
        <v>6772947</v>
      </c>
      <c r="G138" s="4" t="str">
        <f>SUBSTITUTE(SUBSTITUTE(SUBSTITUTE(cleaned_data[[#This Row],[Phone]],"(",""),")","")," ","")</f>
        <v>496677-2947</v>
      </c>
      <c r="H138" s="4" t="str">
        <f>raw_data[[#This Row],[Street Address]]</f>
        <v>934 Morris Rd.</v>
      </c>
      <c r="I138" s="4" t="str">
        <f>TRIM(MID(cleaned_data[[#This Row],[Street Address]],FIND(" ",cleaned_data[[#This Row],[Street Address]])+1,LEN(cleaned_data[[#This Row],[Street Address]])))</f>
        <v>Morris Rd.</v>
      </c>
      <c r="J138" s="15" t="str">
        <f>raw_data[[#This Row],[Zipcode]]</f>
        <v>85264</v>
      </c>
      <c r="K138" s="4" t="str">
        <f>cleaned_data[[#This Row],[Zipcode]]&amp;" - "&amp;cleaned_data[[#This Row],[Street Name]]</f>
        <v>85264 - Morris Rd.</v>
      </c>
      <c r="L138" s="4" t="str">
        <f>LEFT(cleaned_data[[#This Row],[First Name]],3)&amp;LEFT(cleaned_data[[#This Row],[Last Name]],3)&amp;cleaned_data[[#This Row],[Area Code]]</f>
        <v>AstDuk496</v>
      </c>
      <c r="M138" s="4" t="str">
        <f>SUBSTITUTE(cleaned_data[[#This Row],[Street Address]],"St.","Street")</f>
        <v>934 Morris Rd.</v>
      </c>
      <c r="N138" s="4" t="str">
        <f>LEFT(cleaned_data[[#This Row],[Street Address]],FIND(" ",cleaned_data[[#This Row],[Street Address]])-1)</f>
        <v>934</v>
      </c>
      <c r="O138" s="16">
        <f>raw_data[[#This Row],[Req Date]]</f>
        <v>41678</v>
      </c>
      <c r="P138" s="4">
        <f>YEAR(cleaned_data[[#This Row],[Req Date]])</f>
        <v>2014</v>
      </c>
      <c r="Q138" s="4">
        <f>MONTH(cleaned_data[[#This Row],[Req Date]])</f>
        <v>2</v>
      </c>
      <c r="R138" s="4">
        <f>DAY(cleaned_data[[#This Row],[Req Date]])</f>
        <v>8</v>
      </c>
    </row>
    <row r="139" spans="1:18" ht="15.6" x14ac:dyDescent="0.25">
      <c r="A139" s="4" t="str">
        <f>raw_data[[#This Row],[First Name]]</f>
        <v>Yeo</v>
      </c>
      <c r="B139" s="4" t="str">
        <f>raw_data[[#This Row],[Last Name]]</f>
        <v>Espinoza</v>
      </c>
      <c r="C139" s="4" t="str">
        <f>TRIM(cleaned_data[[#This Row],[First Name]]&amp; " "&amp;cleaned_data[[#This Row],[Last Name]])</f>
        <v>Yeo Espinoza</v>
      </c>
      <c r="D139" s="4" t="str">
        <f>raw_data[[#This Row],[Phone]]</f>
        <v>(204) 777-6816</v>
      </c>
      <c r="E139" s="4" t="str">
        <f>MID(cleaned_data[[#This Row],[Phone]],FIND("(",cleaned_data[[#This Row],[Phone]])+1,3)</f>
        <v>204</v>
      </c>
      <c r="F139" s="4" t="str">
        <f>RIGHT(SUBSTITUTE(cleaned_data[[#This Row],[Phone]],"-",""),7)</f>
        <v>7776816</v>
      </c>
      <c r="G139" s="4" t="str">
        <f>SUBSTITUTE(SUBSTITUTE(SUBSTITUTE(cleaned_data[[#This Row],[Phone]],"(",""),")","")," ","")</f>
        <v>204777-6816</v>
      </c>
      <c r="H139" s="4" t="str">
        <f>raw_data[[#This Row],[Street Address]]</f>
        <v>211 A Ave.</v>
      </c>
      <c r="I139" s="4" t="str">
        <f>TRIM(MID(cleaned_data[[#This Row],[Street Address]],FIND(" ",cleaned_data[[#This Row],[Street Address]])+1,LEN(cleaned_data[[#This Row],[Street Address]])))</f>
        <v>A Ave.</v>
      </c>
      <c r="J139" s="15" t="str">
        <f>raw_data[[#This Row],[Zipcode]]</f>
        <v>85387</v>
      </c>
      <c r="K139" s="4" t="str">
        <f>cleaned_data[[#This Row],[Zipcode]]&amp;" - "&amp;cleaned_data[[#This Row],[Street Name]]</f>
        <v>85387 - A Ave.</v>
      </c>
      <c r="L139" s="4" t="str">
        <f>LEFT(cleaned_data[[#This Row],[First Name]],3)&amp;LEFT(cleaned_data[[#This Row],[Last Name]],3)&amp;cleaned_data[[#This Row],[Area Code]]</f>
        <v>YeoEsp204</v>
      </c>
      <c r="M139" s="4" t="str">
        <f>SUBSTITUTE(cleaned_data[[#This Row],[Street Address]],"St.","Street")</f>
        <v>211 A Ave.</v>
      </c>
      <c r="N139" s="4" t="str">
        <f>LEFT(cleaned_data[[#This Row],[Street Address]],FIND(" ",cleaned_data[[#This Row],[Street Address]])-1)</f>
        <v>211</v>
      </c>
      <c r="O139" s="16">
        <f>raw_data[[#This Row],[Req Date]]</f>
        <v>41626</v>
      </c>
      <c r="P139" s="4">
        <f>YEAR(cleaned_data[[#This Row],[Req Date]])</f>
        <v>2013</v>
      </c>
      <c r="Q139" s="4">
        <f>MONTH(cleaned_data[[#This Row],[Req Date]])</f>
        <v>12</v>
      </c>
      <c r="R139" s="4">
        <f>DAY(cleaned_data[[#This Row],[Req Date]])</f>
        <v>18</v>
      </c>
    </row>
    <row r="140" spans="1:18" ht="15.6" x14ac:dyDescent="0.25">
      <c r="A140" s="4" t="str">
        <f>raw_data[[#This Row],[First Name]]</f>
        <v>Lydia</v>
      </c>
      <c r="B140" s="4" t="str">
        <f>raw_data[[#This Row],[Last Name]]</f>
        <v>Pearson</v>
      </c>
      <c r="C140" s="4" t="str">
        <f>TRIM(cleaned_data[[#This Row],[First Name]]&amp; " "&amp;cleaned_data[[#This Row],[Last Name]])</f>
        <v>Lydia Pearson</v>
      </c>
      <c r="D140" s="4" t="str">
        <f>raw_data[[#This Row],[Phone]]</f>
        <v>(187) 796-6187</v>
      </c>
      <c r="E140" s="4" t="str">
        <f>MID(cleaned_data[[#This Row],[Phone]],FIND("(",cleaned_data[[#This Row],[Phone]])+1,3)</f>
        <v>187</v>
      </c>
      <c r="F140" s="4" t="str">
        <f>RIGHT(SUBSTITUTE(cleaned_data[[#This Row],[Phone]],"-",""),7)</f>
        <v>7966187</v>
      </c>
      <c r="G140" s="4" t="str">
        <f>SUBSTITUTE(SUBSTITUTE(SUBSTITUTE(cleaned_data[[#This Row],[Phone]],"(",""),")","")," ","")</f>
        <v>187796-6187</v>
      </c>
      <c r="H140" s="4" t="str">
        <f>raw_data[[#This Row],[Street Address]]</f>
        <v>2389 Arcu Rd.</v>
      </c>
      <c r="I140" s="4" t="str">
        <f>TRIM(MID(cleaned_data[[#This Row],[Street Address]],FIND(" ",cleaned_data[[#This Row],[Street Address]])+1,LEN(cleaned_data[[#This Row],[Street Address]])))</f>
        <v>Arcu Rd.</v>
      </c>
      <c r="J140" s="15" t="str">
        <f>raw_data[[#This Row],[Zipcode]]</f>
        <v>87722</v>
      </c>
      <c r="K140" s="4" t="str">
        <f>cleaned_data[[#This Row],[Zipcode]]&amp;" - "&amp;cleaned_data[[#This Row],[Street Name]]</f>
        <v>87722 - Arcu Rd.</v>
      </c>
      <c r="L140" s="4" t="str">
        <f>LEFT(cleaned_data[[#This Row],[First Name]],3)&amp;LEFT(cleaned_data[[#This Row],[Last Name]],3)&amp;cleaned_data[[#This Row],[Area Code]]</f>
        <v>LydPea187</v>
      </c>
      <c r="M140" s="4" t="str">
        <f>SUBSTITUTE(cleaned_data[[#This Row],[Street Address]],"St.","Street")</f>
        <v>2389 Arcu Rd.</v>
      </c>
      <c r="N140" s="4" t="str">
        <f>LEFT(cleaned_data[[#This Row],[Street Address]],FIND(" ",cleaned_data[[#This Row],[Street Address]])-1)</f>
        <v>2389</v>
      </c>
      <c r="O140" s="16">
        <f>raw_data[[#This Row],[Req Date]]</f>
        <v>41637</v>
      </c>
      <c r="P140" s="4">
        <f>YEAR(cleaned_data[[#This Row],[Req Date]])</f>
        <v>2013</v>
      </c>
      <c r="Q140" s="4">
        <f>MONTH(cleaned_data[[#This Row],[Req Date]])</f>
        <v>12</v>
      </c>
      <c r="R140" s="4">
        <f>DAY(cleaned_data[[#This Row],[Req Date]])</f>
        <v>29</v>
      </c>
    </row>
    <row r="141" spans="1:18" ht="15.6" x14ac:dyDescent="0.25">
      <c r="A141" s="4" t="str">
        <f>raw_data[[#This Row],[First Name]]</f>
        <v>Jasmine</v>
      </c>
      <c r="B141" s="4" t="str">
        <f>raw_data[[#This Row],[Last Name]]</f>
        <v>Tillman</v>
      </c>
      <c r="C141" s="4" t="str">
        <f>TRIM(cleaned_data[[#This Row],[First Name]]&amp; " "&amp;cleaned_data[[#This Row],[Last Name]])</f>
        <v>Jasmine Tillman</v>
      </c>
      <c r="D141" s="4" t="str">
        <f>raw_data[[#This Row],[Phone]]</f>
        <v>(648) 618-4592</v>
      </c>
      <c r="E141" s="4" t="str">
        <f>MID(cleaned_data[[#This Row],[Phone]],FIND("(",cleaned_data[[#This Row],[Phone]])+1,3)</f>
        <v>648</v>
      </c>
      <c r="F141" s="4" t="str">
        <f>RIGHT(SUBSTITUTE(cleaned_data[[#This Row],[Phone]],"-",""),7)</f>
        <v>6184592</v>
      </c>
      <c r="G141" s="4" t="str">
        <f>SUBSTITUTE(SUBSTITUTE(SUBSTITUTE(cleaned_data[[#This Row],[Phone]],"(",""),")","")," ","")</f>
        <v>648618-4592</v>
      </c>
      <c r="H141" s="4" t="str">
        <f>raw_data[[#This Row],[Street Address]]</f>
        <v>3045 Sapient Rd.</v>
      </c>
      <c r="I141" s="4" t="str">
        <f>TRIM(MID(cleaned_data[[#This Row],[Street Address]],FIND(" ",cleaned_data[[#This Row],[Street Address]])+1,LEN(cleaned_data[[#This Row],[Street Address]])))</f>
        <v>Sapient Rd.</v>
      </c>
      <c r="J141" s="15" t="str">
        <f>raw_data[[#This Row],[Zipcode]]</f>
        <v>63112</v>
      </c>
      <c r="K141" s="4" t="str">
        <f>cleaned_data[[#This Row],[Zipcode]]&amp;" - "&amp;cleaned_data[[#This Row],[Street Name]]</f>
        <v>63112 - Sapient Rd.</v>
      </c>
      <c r="L141" s="4" t="str">
        <f>LEFT(cleaned_data[[#This Row],[First Name]],3)&amp;LEFT(cleaned_data[[#This Row],[Last Name]],3)&amp;cleaned_data[[#This Row],[Area Code]]</f>
        <v>JasTil648</v>
      </c>
      <c r="M141" s="4" t="str">
        <f>SUBSTITUTE(cleaned_data[[#This Row],[Street Address]],"St.","Street")</f>
        <v>3045 Sapient Rd.</v>
      </c>
      <c r="N141" s="4" t="str">
        <f>LEFT(cleaned_data[[#This Row],[Street Address]],FIND(" ",cleaned_data[[#This Row],[Street Address]])-1)</f>
        <v>3045</v>
      </c>
      <c r="O141" s="16">
        <f>raw_data[[#This Row],[Req Date]]</f>
        <v>41673</v>
      </c>
      <c r="P141" s="4">
        <f>YEAR(cleaned_data[[#This Row],[Req Date]])</f>
        <v>2014</v>
      </c>
      <c r="Q141" s="4">
        <f>MONTH(cleaned_data[[#This Row],[Req Date]])</f>
        <v>2</v>
      </c>
      <c r="R141" s="4">
        <f>DAY(cleaned_data[[#This Row],[Req Date]])</f>
        <v>3</v>
      </c>
    </row>
    <row r="142" spans="1:18" ht="15.6" x14ac:dyDescent="0.25">
      <c r="A142" s="4" t="str">
        <f>raw_data[[#This Row],[First Name]]</f>
        <v>Ruby</v>
      </c>
      <c r="B142" s="4" t="str">
        <f>raw_data[[#This Row],[Last Name]]</f>
        <v>Adams</v>
      </c>
      <c r="C142" s="4" t="str">
        <f>TRIM(cleaned_data[[#This Row],[First Name]]&amp; " "&amp;cleaned_data[[#This Row],[Last Name]])</f>
        <v>Ruby Adams</v>
      </c>
      <c r="D142" s="4" t="str">
        <f>raw_data[[#This Row],[Phone]]</f>
        <v>(764) 487-2046</v>
      </c>
      <c r="E142" s="4" t="str">
        <f>MID(cleaned_data[[#This Row],[Phone]],FIND("(",cleaned_data[[#This Row],[Phone]])+1,3)</f>
        <v>764</v>
      </c>
      <c r="F142" s="4" t="str">
        <f>RIGHT(SUBSTITUTE(cleaned_data[[#This Row],[Phone]],"-",""),7)</f>
        <v>4872046</v>
      </c>
      <c r="G142" s="4" t="str">
        <f>SUBSTITUTE(SUBSTITUTE(SUBSTITUTE(cleaned_data[[#This Row],[Phone]],"(",""),")","")," ","")</f>
        <v>764487-2046</v>
      </c>
      <c r="H142" s="4" t="str">
        <f>raw_data[[#This Row],[Street Address]]</f>
        <v>7657 Tortor St.</v>
      </c>
      <c r="I142" s="4" t="str">
        <f>TRIM(MID(cleaned_data[[#This Row],[Street Address]],FIND(" ",cleaned_data[[#This Row],[Street Address]])+1,LEN(cleaned_data[[#This Row],[Street Address]])))</f>
        <v>Tortor St.</v>
      </c>
      <c r="J142" s="15" t="str">
        <f>raw_data[[#This Row],[Zipcode]]</f>
        <v>87724</v>
      </c>
      <c r="K142" s="4" t="str">
        <f>cleaned_data[[#This Row],[Zipcode]]&amp;" - "&amp;cleaned_data[[#This Row],[Street Name]]</f>
        <v>87724 - Tortor St.</v>
      </c>
      <c r="L142" s="4" t="str">
        <f>LEFT(cleaned_data[[#This Row],[First Name]],3)&amp;LEFT(cleaned_data[[#This Row],[Last Name]],3)&amp;cleaned_data[[#This Row],[Area Code]]</f>
        <v>RubAda764</v>
      </c>
      <c r="M142" s="4" t="str">
        <f>SUBSTITUTE(cleaned_data[[#This Row],[Street Address]],"St.","Street")</f>
        <v>7657 Tortor Street</v>
      </c>
      <c r="N142" s="4" t="str">
        <f>LEFT(cleaned_data[[#This Row],[Street Address]],FIND(" ",cleaned_data[[#This Row],[Street Address]])-1)</f>
        <v>7657</v>
      </c>
      <c r="O142" s="16">
        <f>raw_data[[#This Row],[Req Date]]</f>
        <v>41632</v>
      </c>
      <c r="P142" s="4">
        <f>YEAR(cleaned_data[[#This Row],[Req Date]])</f>
        <v>2013</v>
      </c>
      <c r="Q142" s="4">
        <f>MONTH(cleaned_data[[#This Row],[Req Date]])</f>
        <v>12</v>
      </c>
      <c r="R142" s="4">
        <f>DAY(cleaned_data[[#This Row],[Req Date]])</f>
        <v>24</v>
      </c>
    </row>
    <row r="143" spans="1:18" ht="15.6" x14ac:dyDescent="0.25">
      <c r="A143" s="4" t="str">
        <f>raw_data[[#This Row],[First Name]]</f>
        <v>Igor</v>
      </c>
      <c r="B143" s="4" t="str">
        <f>raw_data[[#This Row],[Last Name]]</f>
        <v>Nixon</v>
      </c>
      <c r="C143" s="4" t="str">
        <f>TRIM(cleaned_data[[#This Row],[First Name]]&amp; " "&amp;cleaned_data[[#This Row],[Last Name]])</f>
        <v>Igor Nixon</v>
      </c>
      <c r="D143" s="4" t="str">
        <f>raw_data[[#This Row],[Phone]]</f>
        <v>(624) 618-0448</v>
      </c>
      <c r="E143" s="4" t="str">
        <f>MID(cleaned_data[[#This Row],[Phone]],FIND("(",cleaned_data[[#This Row],[Phone]])+1,3)</f>
        <v>624</v>
      </c>
      <c r="F143" s="4" t="str">
        <f>RIGHT(SUBSTITUTE(cleaned_data[[#This Row],[Phone]],"-",""),7)</f>
        <v>6180448</v>
      </c>
      <c r="G143" s="4" t="str">
        <f>SUBSTITUTE(SUBSTITUTE(SUBSTITUTE(cleaned_data[[#This Row],[Phone]],"(",""),")","")," ","")</f>
        <v>624618-0448</v>
      </c>
      <c r="H143" s="4" t="str">
        <f>raw_data[[#This Row],[Street Address]]</f>
        <v>6970 Esta Ave.</v>
      </c>
      <c r="I143" s="4" t="str">
        <f>TRIM(MID(cleaned_data[[#This Row],[Street Address]],FIND(" ",cleaned_data[[#This Row],[Street Address]])+1,LEN(cleaned_data[[#This Row],[Street Address]])))</f>
        <v>Esta Ave.</v>
      </c>
      <c r="J143" s="15" t="str">
        <f>raw_data[[#This Row],[Zipcode]]</f>
        <v>87728</v>
      </c>
      <c r="K143" s="4" t="str">
        <f>cleaned_data[[#This Row],[Zipcode]]&amp;" - "&amp;cleaned_data[[#This Row],[Street Name]]</f>
        <v>87728 - Esta Ave.</v>
      </c>
      <c r="L143" s="4" t="str">
        <f>LEFT(cleaned_data[[#This Row],[First Name]],3)&amp;LEFT(cleaned_data[[#This Row],[Last Name]],3)&amp;cleaned_data[[#This Row],[Area Code]]</f>
        <v>IgoNix624</v>
      </c>
      <c r="M143" s="4" t="str">
        <f>SUBSTITUTE(cleaned_data[[#This Row],[Street Address]],"St.","Street")</f>
        <v>6970 Esta Ave.</v>
      </c>
      <c r="N143" s="4" t="str">
        <f>LEFT(cleaned_data[[#This Row],[Street Address]],FIND(" ",cleaned_data[[#This Row],[Street Address]])-1)</f>
        <v>6970</v>
      </c>
      <c r="O143" s="16">
        <f>raw_data[[#This Row],[Req Date]]</f>
        <v>41641</v>
      </c>
      <c r="P143" s="4">
        <f>YEAR(cleaned_data[[#This Row],[Req Date]])</f>
        <v>2014</v>
      </c>
      <c r="Q143" s="4">
        <f>MONTH(cleaned_data[[#This Row],[Req Date]])</f>
        <v>1</v>
      </c>
      <c r="R143" s="4">
        <f>DAY(cleaned_data[[#This Row],[Req Date]])</f>
        <v>2</v>
      </c>
    </row>
    <row r="144" spans="1:18" ht="15.6" x14ac:dyDescent="0.25">
      <c r="A144" s="4" t="str">
        <f>raw_data[[#This Row],[First Name]]</f>
        <v>Allen</v>
      </c>
      <c r="B144" s="4" t="str">
        <f>raw_data[[#This Row],[Last Name]]</f>
        <v>Carr</v>
      </c>
      <c r="C144" s="4" t="str">
        <f>TRIM(cleaned_data[[#This Row],[First Name]]&amp; " "&amp;cleaned_data[[#This Row],[Last Name]])</f>
        <v>Allen Carr</v>
      </c>
      <c r="D144" s="4" t="str">
        <f>raw_data[[#This Row],[Phone]]</f>
        <v>(643) 416-2825</v>
      </c>
      <c r="E144" s="4" t="str">
        <f>MID(cleaned_data[[#This Row],[Phone]],FIND("(",cleaned_data[[#This Row],[Phone]])+1,3)</f>
        <v>643</v>
      </c>
      <c r="F144" s="4" t="str">
        <f>RIGHT(SUBSTITUTE(cleaned_data[[#This Row],[Phone]],"-",""),7)</f>
        <v>4162825</v>
      </c>
      <c r="G144" s="4" t="str">
        <f>SUBSTITUTE(SUBSTITUTE(SUBSTITUTE(cleaned_data[[#This Row],[Phone]],"(",""),")","")," ","")</f>
        <v>643416-2825</v>
      </c>
      <c r="H144" s="4" t="str">
        <f>raw_data[[#This Row],[Street Address]]</f>
        <v>1695 Sociis Ave.</v>
      </c>
      <c r="I144" s="4" t="str">
        <f>TRIM(MID(cleaned_data[[#This Row],[Street Address]],FIND(" ",cleaned_data[[#This Row],[Street Address]])+1,LEN(cleaned_data[[#This Row],[Street Address]])))</f>
        <v>Sociis Ave.</v>
      </c>
      <c r="J144" s="15" t="str">
        <f>raw_data[[#This Row],[Zipcode]]</f>
        <v>65050</v>
      </c>
      <c r="K144" s="4" t="str">
        <f>cleaned_data[[#This Row],[Zipcode]]&amp;" - "&amp;cleaned_data[[#This Row],[Street Name]]</f>
        <v>65050 - Sociis Ave.</v>
      </c>
      <c r="L144" s="4" t="str">
        <f>LEFT(cleaned_data[[#This Row],[First Name]],3)&amp;LEFT(cleaned_data[[#This Row],[Last Name]],3)&amp;cleaned_data[[#This Row],[Area Code]]</f>
        <v>AllCar643</v>
      </c>
      <c r="M144" s="4" t="str">
        <f>SUBSTITUTE(cleaned_data[[#This Row],[Street Address]],"St.","Street")</f>
        <v>1695 Sociis Ave.</v>
      </c>
      <c r="N144" s="4" t="str">
        <f>LEFT(cleaned_data[[#This Row],[Street Address]],FIND(" ",cleaned_data[[#This Row],[Street Address]])-1)</f>
        <v>1695</v>
      </c>
      <c r="O144" s="16">
        <f>raw_data[[#This Row],[Req Date]]</f>
        <v>41610</v>
      </c>
      <c r="P144" s="4">
        <f>YEAR(cleaned_data[[#This Row],[Req Date]])</f>
        <v>2013</v>
      </c>
      <c r="Q144" s="4">
        <f>MONTH(cleaned_data[[#This Row],[Req Date]])</f>
        <v>12</v>
      </c>
      <c r="R144" s="4">
        <f>DAY(cleaned_data[[#This Row],[Req Date]])</f>
        <v>2</v>
      </c>
    </row>
    <row r="145" spans="1:18" ht="15.6" x14ac:dyDescent="0.25">
      <c r="A145" s="4" t="str">
        <f>raw_data[[#This Row],[First Name]]</f>
        <v>Charity</v>
      </c>
      <c r="B145" s="4" t="str">
        <f>raw_data[[#This Row],[Last Name]]</f>
        <v>Mccarthy</v>
      </c>
      <c r="C145" s="4" t="str">
        <f>TRIM(cleaned_data[[#This Row],[First Name]]&amp; " "&amp;cleaned_data[[#This Row],[Last Name]])</f>
        <v>Charity Mccarthy</v>
      </c>
      <c r="D145" s="4" t="str">
        <f>raw_data[[#This Row],[Phone]]</f>
        <v>(243) 362-5791</v>
      </c>
      <c r="E145" s="4" t="str">
        <f>MID(cleaned_data[[#This Row],[Phone]],FIND("(",cleaned_data[[#This Row],[Phone]])+1,3)</f>
        <v>243</v>
      </c>
      <c r="F145" s="4" t="str">
        <f>RIGHT(SUBSTITUTE(cleaned_data[[#This Row],[Phone]],"-",""),7)</f>
        <v>3625791</v>
      </c>
      <c r="G145" s="4" t="str">
        <f>SUBSTITUTE(SUBSTITUTE(SUBSTITUTE(cleaned_data[[#This Row],[Phone]],"(",""),")","")," ","")</f>
        <v>243362-5791</v>
      </c>
      <c r="H145" s="4" t="str">
        <f>raw_data[[#This Row],[Street Address]]</f>
        <v>517 Vineland Road</v>
      </c>
      <c r="I145" s="4" t="str">
        <f>TRIM(MID(cleaned_data[[#This Row],[Street Address]],FIND(" ",cleaned_data[[#This Row],[Street Address]])+1,LEN(cleaned_data[[#This Row],[Street Address]])))</f>
        <v>Vineland Road</v>
      </c>
      <c r="J145" s="15" t="str">
        <f>raw_data[[#This Row],[Zipcode]]</f>
        <v>87730</v>
      </c>
      <c r="K145" s="4" t="str">
        <f>cleaned_data[[#This Row],[Zipcode]]&amp;" - "&amp;cleaned_data[[#This Row],[Street Name]]</f>
        <v>87730 - Vineland Road</v>
      </c>
      <c r="L145" s="4" t="str">
        <f>LEFT(cleaned_data[[#This Row],[First Name]],3)&amp;LEFT(cleaned_data[[#This Row],[Last Name]],3)&amp;cleaned_data[[#This Row],[Area Code]]</f>
        <v>ChaMcc243</v>
      </c>
      <c r="M145" s="4" t="str">
        <f>SUBSTITUTE(cleaned_data[[#This Row],[Street Address]],"St.","Street")</f>
        <v>517 Vineland Road</v>
      </c>
      <c r="N145" s="4" t="str">
        <f>LEFT(cleaned_data[[#This Row],[Street Address]],FIND(" ",cleaned_data[[#This Row],[Street Address]])-1)</f>
        <v>517</v>
      </c>
      <c r="O145" s="16">
        <f>raw_data[[#This Row],[Req Date]]</f>
        <v>41608</v>
      </c>
      <c r="P145" s="4">
        <f>YEAR(cleaned_data[[#This Row],[Req Date]])</f>
        <v>2013</v>
      </c>
      <c r="Q145" s="4">
        <f>MONTH(cleaned_data[[#This Row],[Req Date]])</f>
        <v>11</v>
      </c>
      <c r="R145" s="4">
        <f>DAY(cleaned_data[[#This Row],[Req Date]])</f>
        <v>30</v>
      </c>
    </row>
    <row r="146" spans="1:18" ht="15.6" x14ac:dyDescent="0.25">
      <c r="A146" s="4" t="str">
        <f>raw_data[[#This Row],[First Name]]</f>
        <v>Colby</v>
      </c>
      <c r="B146" s="4" t="str">
        <f>raw_data[[#This Row],[Last Name]]</f>
        <v>Frederick</v>
      </c>
      <c r="C146" s="4" t="str">
        <f>TRIM(cleaned_data[[#This Row],[First Name]]&amp; " "&amp;cleaned_data[[#This Row],[Last Name]])</f>
        <v>Colby Frederick</v>
      </c>
      <c r="D146" s="4" t="str">
        <f>raw_data[[#This Row],[Phone]]</f>
        <v>(132) 867-7992</v>
      </c>
      <c r="E146" s="4" t="str">
        <f>MID(cleaned_data[[#This Row],[Phone]],FIND("(",cleaned_data[[#This Row],[Phone]])+1,3)</f>
        <v>132</v>
      </c>
      <c r="F146" s="4" t="str">
        <f>RIGHT(SUBSTITUTE(cleaned_data[[#This Row],[Phone]],"-",""),7)</f>
        <v>8677992</v>
      </c>
      <c r="G146" s="4" t="str">
        <f>SUBSTITUTE(SUBSTITUTE(SUBSTITUTE(cleaned_data[[#This Row],[Phone]],"(",""),")","")," ","")</f>
        <v>132867-7992</v>
      </c>
      <c r="H146" s="4" t="str">
        <f>raw_data[[#This Row],[Street Address]]</f>
        <v>5093 Eu Street</v>
      </c>
      <c r="I146" s="4" t="str">
        <f>TRIM(MID(cleaned_data[[#This Row],[Street Address]],FIND(" ",cleaned_data[[#This Row],[Street Address]])+1,LEN(cleaned_data[[#This Row],[Street Address]])))</f>
        <v>Eu Street</v>
      </c>
      <c r="J146" s="15" t="str">
        <f>raw_data[[#This Row],[Zipcode]]</f>
        <v>87731</v>
      </c>
      <c r="K146" s="4" t="str">
        <f>cleaned_data[[#This Row],[Zipcode]]&amp;" - "&amp;cleaned_data[[#This Row],[Street Name]]</f>
        <v>87731 - Eu Street</v>
      </c>
      <c r="L146" s="4" t="str">
        <f>LEFT(cleaned_data[[#This Row],[First Name]],3)&amp;LEFT(cleaned_data[[#This Row],[Last Name]],3)&amp;cleaned_data[[#This Row],[Area Code]]</f>
        <v>ColFre132</v>
      </c>
      <c r="M146" s="4" t="str">
        <f>SUBSTITUTE(cleaned_data[[#This Row],[Street Address]],"St.","Street")</f>
        <v>5093 Eu Street</v>
      </c>
      <c r="N146" s="4" t="str">
        <f>LEFT(cleaned_data[[#This Row],[Street Address]],FIND(" ",cleaned_data[[#This Row],[Street Address]])-1)</f>
        <v>5093</v>
      </c>
      <c r="O146" s="16">
        <f>raw_data[[#This Row],[Req Date]]</f>
        <v>41609</v>
      </c>
      <c r="P146" s="4">
        <f>YEAR(cleaned_data[[#This Row],[Req Date]])</f>
        <v>2013</v>
      </c>
      <c r="Q146" s="4">
        <f>MONTH(cleaned_data[[#This Row],[Req Date]])</f>
        <v>12</v>
      </c>
      <c r="R146" s="4">
        <f>DAY(cleaned_data[[#This Row],[Req Date]])</f>
        <v>1</v>
      </c>
    </row>
    <row r="147" spans="1:18" ht="15.6" x14ac:dyDescent="0.25">
      <c r="A147" s="4" t="str">
        <f>raw_data[[#This Row],[First Name]]</f>
        <v>Medge</v>
      </c>
      <c r="B147" s="4" t="str">
        <f>raw_data[[#This Row],[Last Name]]</f>
        <v>Joyner</v>
      </c>
      <c r="C147" s="4" t="str">
        <f>TRIM(cleaned_data[[#This Row],[First Name]]&amp; " "&amp;cleaned_data[[#This Row],[Last Name]])</f>
        <v>Medge Joyner</v>
      </c>
      <c r="D147" s="4" t="str">
        <f>raw_data[[#This Row],[Phone]]</f>
        <v>(924) 269-3864</v>
      </c>
      <c r="E147" s="4" t="str">
        <f>MID(cleaned_data[[#This Row],[Phone]],FIND("(",cleaned_data[[#This Row],[Phone]])+1,3)</f>
        <v>924</v>
      </c>
      <c r="F147" s="4" t="str">
        <f>RIGHT(SUBSTITUTE(cleaned_data[[#This Row],[Phone]],"-",""),7)</f>
        <v>2693864</v>
      </c>
      <c r="G147" s="4" t="str">
        <f>SUBSTITUTE(SUBSTITUTE(SUBSTITUTE(cleaned_data[[#This Row],[Phone]],"(",""),")","")," ","")</f>
        <v>924269-3864</v>
      </c>
      <c r="H147" s="4" t="str">
        <f>raw_data[[#This Row],[Street Address]]</f>
        <v>7175 Western Ave.</v>
      </c>
      <c r="I147" s="4" t="str">
        <f>TRIM(MID(cleaned_data[[#This Row],[Street Address]],FIND(" ",cleaned_data[[#This Row],[Street Address]])+1,LEN(cleaned_data[[#This Row],[Street Address]])))</f>
        <v>Western Ave.</v>
      </c>
      <c r="J147" s="15" t="str">
        <f>raw_data[[#This Row],[Zipcode]]</f>
        <v>88595</v>
      </c>
      <c r="K147" s="4" t="str">
        <f>cleaned_data[[#This Row],[Zipcode]]&amp;" - "&amp;cleaned_data[[#This Row],[Street Name]]</f>
        <v>88595 - Western Ave.</v>
      </c>
      <c r="L147" s="4" t="str">
        <f>LEFT(cleaned_data[[#This Row],[First Name]],3)&amp;LEFT(cleaned_data[[#This Row],[Last Name]],3)&amp;cleaned_data[[#This Row],[Area Code]]</f>
        <v>MedJoy924</v>
      </c>
      <c r="M147" s="4" t="str">
        <f>SUBSTITUTE(cleaned_data[[#This Row],[Street Address]],"St.","Street")</f>
        <v>7175 Western Ave.</v>
      </c>
      <c r="N147" s="4" t="str">
        <f>LEFT(cleaned_data[[#This Row],[Street Address]],FIND(" ",cleaned_data[[#This Row],[Street Address]])-1)</f>
        <v>7175</v>
      </c>
      <c r="O147" s="16">
        <f>raw_data[[#This Row],[Req Date]]</f>
        <v>41652</v>
      </c>
      <c r="P147" s="4">
        <f>YEAR(cleaned_data[[#This Row],[Req Date]])</f>
        <v>2014</v>
      </c>
      <c r="Q147" s="4">
        <f>MONTH(cleaned_data[[#This Row],[Req Date]])</f>
        <v>1</v>
      </c>
      <c r="R147" s="4">
        <f>DAY(cleaned_data[[#This Row],[Req Date]])</f>
        <v>13</v>
      </c>
    </row>
    <row r="148" spans="1:18" ht="15.6" x14ac:dyDescent="0.25">
      <c r="A148" s="4" t="str">
        <f>raw_data[[#This Row],[First Name]]</f>
        <v>Paul</v>
      </c>
      <c r="B148" s="4" t="str">
        <f>raw_data[[#This Row],[Last Name]]</f>
        <v>Munoz</v>
      </c>
      <c r="C148" s="4" t="str">
        <f>TRIM(cleaned_data[[#This Row],[First Name]]&amp; " "&amp;cleaned_data[[#This Row],[Last Name]])</f>
        <v>Paul Munoz</v>
      </c>
      <c r="D148" s="4" t="str">
        <f>raw_data[[#This Row],[Phone]]</f>
        <v>(799) 678-0073</v>
      </c>
      <c r="E148" s="4" t="str">
        <f>MID(cleaned_data[[#This Row],[Phone]],FIND("(",cleaned_data[[#This Row],[Phone]])+1,3)</f>
        <v>799</v>
      </c>
      <c r="F148" s="4" t="str">
        <f>RIGHT(SUBSTITUTE(cleaned_data[[#This Row],[Phone]],"-",""),7)</f>
        <v>6780073</v>
      </c>
      <c r="G148" s="4" t="str">
        <f>SUBSTITUTE(SUBSTITUTE(SUBSTITUTE(cleaned_data[[#This Row],[Phone]],"(",""),")","")," ","")</f>
        <v>799678-0073</v>
      </c>
      <c r="H148" s="4" t="str">
        <f>raw_data[[#This Row],[Street Address]]</f>
        <v>2989 Amet Ave.</v>
      </c>
      <c r="I148" s="4" t="str">
        <f>TRIM(MID(cleaned_data[[#This Row],[Street Address]],FIND(" ",cleaned_data[[#This Row],[Street Address]])+1,LEN(cleaned_data[[#This Row],[Street Address]])))</f>
        <v>Amet Ave.</v>
      </c>
      <c r="J148" s="15" t="str">
        <f>raw_data[[#This Row],[Zipcode]]</f>
        <v>88901</v>
      </c>
      <c r="K148" s="4" t="str">
        <f>cleaned_data[[#This Row],[Zipcode]]&amp;" - "&amp;cleaned_data[[#This Row],[Street Name]]</f>
        <v>88901 - Amet Ave.</v>
      </c>
      <c r="L148" s="4" t="str">
        <f>LEFT(cleaned_data[[#This Row],[First Name]],3)&amp;LEFT(cleaned_data[[#This Row],[Last Name]],3)&amp;cleaned_data[[#This Row],[Area Code]]</f>
        <v>PauMun799</v>
      </c>
      <c r="M148" s="4" t="str">
        <f>SUBSTITUTE(cleaned_data[[#This Row],[Street Address]],"St.","Street")</f>
        <v>2989 Amet Ave.</v>
      </c>
      <c r="N148" s="4" t="str">
        <f>LEFT(cleaned_data[[#This Row],[Street Address]],FIND(" ",cleaned_data[[#This Row],[Street Address]])-1)</f>
        <v>2989</v>
      </c>
      <c r="O148" s="16">
        <f>raw_data[[#This Row],[Req Date]]</f>
        <v>41690</v>
      </c>
      <c r="P148" s="4">
        <f>YEAR(cleaned_data[[#This Row],[Req Date]])</f>
        <v>2014</v>
      </c>
      <c r="Q148" s="4">
        <f>MONTH(cleaned_data[[#This Row],[Req Date]])</f>
        <v>2</v>
      </c>
      <c r="R148" s="4">
        <f>DAY(cleaned_data[[#This Row],[Req Date]])</f>
        <v>20</v>
      </c>
    </row>
    <row r="149" spans="1:18" ht="15.6" x14ac:dyDescent="0.25">
      <c r="A149" s="4" t="str">
        <f>raw_data[[#This Row],[First Name]]</f>
        <v>Beatrice</v>
      </c>
      <c r="B149" s="4" t="str">
        <f>raw_data[[#This Row],[Last Name]]</f>
        <v>Richard</v>
      </c>
      <c r="C149" s="4" t="str">
        <f>TRIM(cleaned_data[[#This Row],[First Name]]&amp; " "&amp;cleaned_data[[#This Row],[Last Name]])</f>
        <v>Beatrice Richard</v>
      </c>
      <c r="D149" s="4" t="str">
        <f>raw_data[[#This Row],[Phone]]</f>
        <v>(264) 553-7006</v>
      </c>
      <c r="E149" s="4" t="str">
        <f>MID(cleaned_data[[#This Row],[Phone]],FIND("(",cleaned_data[[#This Row],[Phone]])+1,3)</f>
        <v>264</v>
      </c>
      <c r="F149" s="4" t="str">
        <f>RIGHT(SUBSTITUTE(cleaned_data[[#This Row],[Phone]],"-",""),7)</f>
        <v>5537006</v>
      </c>
      <c r="G149" s="4" t="str">
        <f>SUBSTITUTE(SUBSTITUTE(SUBSTITUTE(cleaned_data[[#This Row],[Phone]],"(",""),")","")," ","")</f>
        <v>264553-7006</v>
      </c>
      <c r="H149" s="4" t="str">
        <f>raw_data[[#This Row],[Street Address]]</f>
        <v>7383 Zipper Rd.</v>
      </c>
      <c r="I149" s="4" t="str">
        <f>TRIM(MID(cleaned_data[[#This Row],[Street Address]],FIND(" ",cleaned_data[[#This Row],[Street Address]])+1,LEN(cleaned_data[[#This Row],[Street Address]])))</f>
        <v>Zipper Rd.</v>
      </c>
      <c r="J149" s="15" t="str">
        <f>raw_data[[#This Row],[Zipcode]]</f>
        <v>89004</v>
      </c>
      <c r="K149" s="4" t="str">
        <f>cleaned_data[[#This Row],[Zipcode]]&amp;" - "&amp;cleaned_data[[#This Row],[Street Name]]</f>
        <v>89004 - Zipper Rd.</v>
      </c>
      <c r="L149" s="4" t="str">
        <f>LEFT(cleaned_data[[#This Row],[First Name]],3)&amp;LEFT(cleaned_data[[#This Row],[Last Name]],3)&amp;cleaned_data[[#This Row],[Area Code]]</f>
        <v>BeaRic264</v>
      </c>
      <c r="M149" s="4" t="str">
        <f>SUBSTITUTE(cleaned_data[[#This Row],[Street Address]],"St.","Street")</f>
        <v>7383 Zipper Rd.</v>
      </c>
      <c r="N149" s="4" t="str">
        <f>LEFT(cleaned_data[[#This Row],[Street Address]],FIND(" ",cleaned_data[[#This Row],[Street Address]])-1)</f>
        <v>7383</v>
      </c>
      <c r="O149" s="16">
        <f>raw_data[[#This Row],[Req Date]]</f>
        <v>41651</v>
      </c>
      <c r="P149" s="4">
        <f>YEAR(cleaned_data[[#This Row],[Req Date]])</f>
        <v>2014</v>
      </c>
      <c r="Q149" s="4">
        <f>MONTH(cleaned_data[[#This Row],[Req Date]])</f>
        <v>1</v>
      </c>
      <c r="R149" s="4">
        <f>DAY(cleaned_data[[#This Row],[Req Date]])</f>
        <v>12</v>
      </c>
    </row>
    <row r="150" spans="1:18" ht="15.6" x14ac:dyDescent="0.25">
      <c r="A150" s="4" t="str">
        <f>raw_data[[#This Row],[First Name]]</f>
        <v>Len</v>
      </c>
      <c r="B150" s="4" t="str">
        <f>raw_data[[#This Row],[Last Name]]</f>
        <v>Bowman</v>
      </c>
      <c r="C150" s="4" t="str">
        <f>TRIM(cleaned_data[[#This Row],[First Name]]&amp; " "&amp;cleaned_data[[#This Row],[Last Name]])</f>
        <v>Len Bowman</v>
      </c>
      <c r="D150" s="4" t="str">
        <f>raw_data[[#This Row],[Phone]]</f>
        <v>(945) 146-8274</v>
      </c>
      <c r="E150" s="4" t="str">
        <f>MID(cleaned_data[[#This Row],[Phone]],FIND("(",cleaned_data[[#This Row],[Phone]])+1,3)</f>
        <v>945</v>
      </c>
      <c r="F150" s="4" t="str">
        <f>RIGHT(SUBSTITUTE(cleaned_data[[#This Row],[Phone]],"-",""),7)</f>
        <v>1468274</v>
      </c>
      <c r="G150" s="4" t="str">
        <f>SUBSTITUTE(SUBSTITUTE(SUBSTITUTE(cleaned_data[[#This Row],[Phone]],"(",""),")","")," ","")</f>
        <v>945146-8274</v>
      </c>
      <c r="H150" s="4" t="str">
        <f>raw_data[[#This Row],[Street Address]]</f>
        <v>9937 Ultricies Street</v>
      </c>
      <c r="I150" s="4" t="str">
        <f>TRIM(MID(cleaned_data[[#This Row],[Street Address]],FIND(" ",cleaned_data[[#This Row],[Street Address]])+1,LEN(cleaned_data[[#This Row],[Street Address]])))</f>
        <v>Ultricies Street</v>
      </c>
      <c r="J150" s="15" t="str">
        <f>raw_data[[#This Row],[Zipcode]]</f>
        <v>89005</v>
      </c>
      <c r="K150" s="4" t="str">
        <f>cleaned_data[[#This Row],[Zipcode]]&amp;" - "&amp;cleaned_data[[#This Row],[Street Name]]</f>
        <v>89005 - Ultricies Street</v>
      </c>
      <c r="L150" s="4" t="str">
        <f>LEFT(cleaned_data[[#This Row],[First Name]],3)&amp;LEFT(cleaned_data[[#This Row],[Last Name]],3)&amp;cleaned_data[[#This Row],[Area Code]]</f>
        <v>LenBow945</v>
      </c>
      <c r="M150" s="4" t="str">
        <f>SUBSTITUTE(cleaned_data[[#This Row],[Street Address]],"St.","Street")</f>
        <v>9937 Ultricies Street</v>
      </c>
      <c r="N150" s="4" t="str">
        <f>LEFT(cleaned_data[[#This Row],[Street Address]],FIND(" ",cleaned_data[[#This Row],[Street Address]])-1)</f>
        <v>9937</v>
      </c>
      <c r="O150" s="16">
        <f>raw_data[[#This Row],[Req Date]]</f>
        <v>41689</v>
      </c>
      <c r="P150" s="4">
        <f>YEAR(cleaned_data[[#This Row],[Req Date]])</f>
        <v>2014</v>
      </c>
      <c r="Q150" s="4">
        <f>MONTH(cleaned_data[[#This Row],[Req Date]])</f>
        <v>2</v>
      </c>
      <c r="R150" s="4">
        <f>DAY(cleaned_data[[#This Row],[Req Date]])</f>
        <v>19</v>
      </c>
    </row>
    <row r="151" spans="1:18" ht="15.6" x14ac:dyDescent="0.25">
      <c r="A151" s="4" t="str">
        <f>raw_data[[#This Row],[First Name]]</f>
        <v>Alma</v>
      </c>
      <c r="B151" s="4" t="str">
        <f>raw_data[[#This Row],[Last Name]]</f>
        <v>Oliver</v>
      </c>
      <c r="C151" s="4" t="str">
        <f>TRIM(cleaned_data[[#This Row],[First Name]]&amp; " "&amp;cleaned_data[[#This Row],[Last Name]])</f>
        <v>Alma Oliver</v>
      </c>
      <c r="D151" s="4" t="str">
        <f>raw_data[[#This Row],[Phone]]</f>
        <v>(665) 616-9953</v>
      </c>
      <c r="E151" s="4" t="str">
        <f>MID(cleaned_data[[#This Row],[Phone]],FIND("(",cleaned_data[[#This Row],[Phone]])+1,3)</f>
        <v>665</v>
      </c>
      <c r="F151" s="4" t="str">
        <f>RIGHT(SUBSTITUTE(cleaned_data[[#This Row],[Phone]],"-",""),7)</f>
        <v>6169953</v>
      </c>
      <c r="G151" s="4" t="str">
        <f>SUBSTITUTE(SUBSTITUTE(SUBSTITUTE(cleaned_data[[#This Row],[Phone]],"(",""),")","")," ","")</f>
        <v>665616-9953</v>
      </c>
      <c r="H151" s="4" t="str">
        <f>raw_data[[#This Row],[Street Address]]</f>
        <v>1406 Id Rd.</v>
      </c>
      <c r="I151" s="4" t="str">
        <f>TRIM(MID(cleaned_data[[#This Row],[Street Address]],FIND(" ",cleaned_data[[#This Row],[Street Address]])+1,LEN(cleaned_data[[#This Row],[Street Address]])))</f>
        <v>Id Rd.</v>
      </c>
      <c r="J151" s="15" t="str">
        <f>raw_data[[#This Row],[Zipcode]]</f>
        <v>90624</v>
      </c>
      <c r="K151" s="4" t="str">
        <f>cleaned_data[[#This Row],[Zipcode]]&amp;" - "&amp;cleaned_data[[#This Row],[Street Name]]</f>
        <v>90624 - Id Rd.</v>
      </c>
      <c r="L151" s="4" t="str">
        <f>LEFT(cleaned_data[[#This Row],[First Name]],3)&amp;LEFT(cleaned_data[[#This Row],[Last Name]],3)&amp;cleaned_data[[#This Row],[Area Code]]</f>
        <v>AlmOli665</v>
      </c>
      <c r="M151" s="4" t="str">
        <f>SUBSTITUTE(cleaned_data[[#This Row],[Street Address]],"St.","Street")</f>
        <v>1406 Id Rd.</v>
      </c>
      <c r="N151" s="4" t="str">
        <f>LEFT(cleaned_data[[#This Row],[Street Address]],FIND(" ",cleaned_data[[#This Row],[Street Address]])-1)</f>
        <v>1406</v>
      </c>
      <c r="O151" s="16">
        <f>raw_data[[#This Row],[Req Date]]</f>
        <v>41694</v>
      </c>
      <c r="P151" s="4">
        <f>YEAR(cleaned_data[[#This Row],[Req Date]])</f>
        <v>2014</v>
      </c>
      <c r="Q151" s="4">
        <f>MONTH(cleaned_data[[#This Row],[Req Date]])</f>
        <v>2</v>
      </c>
      <c r="R151" s="4">
        <f>DAY(cleaned_data[[#This Row],[Req Date]])</f>
        <v>24</v>
      </c>
    </row>
    <row r="152" spans="1:18" ht="15.6" x14ac:dyDescent="0.25">
      <c r="A152" s="4" t="str">
        <f>raw_data[[#This Row],[First Name]]</f>
        <v>Byron</v>
      </c>
      <c r="B152" s="4" t="str">
        <f>raw_data[[#This Row],[Last Name]]</f>
        <v>Sykes</v>
      </c>
      <c r="C152" s="4" t="str">
        <f>TRIM(cleaned_data[[#This Row],[First Name]]&amp; " "&amp;cleaned_data[[#This Row],[Last Name]])</f>
        <v>Byron Sykes</v>
      </c>
      <c r="D152" s="4" t="str">
        <f>raw_data[[#This Row],[Phone]]</f>
        <v>(218) 835-9396</v>
      </c>
      <c r="E152" s="4" t="str">
        <f>MID(cleaned_data[[#This Row],[Phone]],FIND("(",cleaned_data[[#This Row],[Phone]])+1,3)</f>
        <v>218</v>
      </c>
      <c r="F152" s="4" t="str">
        <f>RIGHT(SUBSTITUTE(cleaned_data[[#This Row],[Phone]],"-",""),7)</f>
        <v>8359396</v>
      </c>
      <c r="G152" s="4" t="str">
        <f>SUBSTITUTE(SUBSTITUTE(SUBSTITUTE(cleaned_data[[#This Row],[Phone]],"(",""),")","")," ","")</f>
        <v>218835-9396</v>
      </c>
      <c r="H152" s="4" t="str">
        <f>raw_data[[#This Row],[Street Address]]</f>
        <v>1302 Arcu Rd.</v>
      </c>
      <c r="I152" s="4" t="str">
        <f>TRIM(MID(cleaned_data[[#This Row],[Street Address]],FIND(" ",cleaned_data[[#This Row],[Street Address]])+1,LEN(cleaned_data[[#This Row],[Street Address]])))</f>
        <v>Arcu Rd.</v>
      </c>
      <c r="J152" s="15" t="str">
        <f>raw_data[[#This Row],[Zipcode]]</f>
        <v>90630</v>
      </c>
      <c r="K152" s="4" t="str">
        <f>cleaned_data[[#This Row],[Zipcode]]&amp;" - "&amp;cleaned_data[[#This Row],[Street Name]]</f>
        <v>90630 - Arcu Rd.</v>
      </c>
      <c r="L152" s="4" t="str">
        <f>LEFT(cleaned_data[[#This Row],[First Name]],3)&amp;LEFT(cleaned_data[[#This Row],[Last Name]],3)&amp;cleaned_data[[#This Row],[Area Code]]</f>
        <v>ByrSyk218</v>
      </c>
      <c r="M152" s="4" t="str">
        <f>SUBSTITUTE(cleaned_data[[#This Row],[Street Address]],"St.","Street")</f>
        <v>1302 Arcu Rd.</v>
      </c>
      <c r="N152" s="4" t="str">
        <f>LEFT(cleaned_data[[#This Row],[Street Address]],FIND(" ",cleaned_data[[#This Row],[Street Address]])-1)</f>
        <v>1302</v>
      </c>
      <c r="O152" s="16">
        <f>raw_data[[#This Row],[Req Date]]</f>
        <v>41637</v>
      </c>
      <c r="P152" s="4">
        <f>YEAR(cleaned_data[[#This Row],[Req Date]])</f>
        <v>2013</v>
      </c>
      <c r="Q152" s="4">
        <f>MONTH(cleaned_data[[#This Row],[Req Date]])</f>
        <v>12</v>
      </c>
      <c r="R152" s="4">
        <f>DAY(cleaned_data[[#This Row],[Req Date]])</f>
        <v>29</v>
      </c>
    </row>
    <row r="153" spans="1:18" ht="15.6" x14ac:dyDescent="0.25">
      <c r="A153" s="4" t="str">
        <f>raw_data[[#This Row],[First Name]]</f>
        <v>Candace</v>
      </c>
      <c r="B153" s="4" t="str">
        <f>raw_data[[#This Row],[Last Name]]</f>
        <v>Payne</v>
      </c>
      <c r="C153" s="4" t="str">
        <f>TRIM(cleaned_data[[#This Row],[First Name]]&amp; " "&amp;cleaned_data[[#This Row],[Last Name]])</f>
        <v>Candace Payne</v>
      </c>
      <c r="D153" s="4" t="str">
        <f>raw_data[[#This Row],[Phone]]</f>
        <v>(756) 738-6197</v>
      </c>
      <c r="E153" s="4" t="str">
        <f>MID(cleaned_data[[#This Row],[Phone]],FIND("(",cleaned_data[[#This Row],[Phone]])+1,3)</f>
        <v>756</v>
      </c>
      <c r="F153" s="4" t="str">
        <f>RIGHT(SUBSTITUTE(cleaned_data[[#This Row],[Phone]],"-",""),7)</f>
        <v>7386197</v>
      </c>
      <c r="G153" s="4" t="str">
        <f>SUBSTITUTE(SUBSTITUTE(SUBSTITUTE(cleaned_data[[#This Row],[Phone]],"(",""),")","")," ","")</f>
        <v>756738-6197</v>
      </c>
      <c r="H153" s="4" t="str">
        <f>raw_data[[#This Row],[Street Address]]</f>
        <v>7185 Nadie Ave.</v>
      </c>
      <c r="I153" s="4" t="str">
        <f>TRIM(MID(cleaned_data[[#This Row],[Street Address]],FIND(" ",cleaned_data[[#This Row],[Street Address]])+1,LEN(cleaned_data[[#This Row],[Street Address]])))</f>
        <v>Nadie Ave.</v>
      </c>
      <c r="J153" s="15" t="str">
        <f>raw_data[[#This Row],[Zipcode]]</f>
        <v>90631</v>
      </c>
      <c r="K153" s="4" t="str">
        <f>cleaned_data[[#This Row],[Zipcode]]&amp;" - "&amp;cleaned_data[[#This Row],[Street Name]]</f>
        <v>90631 - Nadie Ave.</v>
      </c>
      <c r="L153" s="4" t="str">
        <f>LEFT(cleaned_data[[#This Row],[First Name]],3)&amp;LEFT(cleaned_data[[#This Row],[Last Name]],3)&amp;cleaned_data[[#This Row],[Area Code]]</f>
        <v>CanPay756</v>
      </c>
      <c r="M153" s="4" t="str">
        <f>SUBSTITUTE(cleaned_data[[#This Row],[Street Address]],"St.","Street")</f>
        <v>7185 Nadie Ave.</v>
      </c>
      <c r="N153" s="4" t="str">
        <f>LEFT(cleaned_data[[#This Row],[Street Address]],FIND(" ",cleaned_data[[#This Row],[Street Address]])-1)</f>
        <v>7185</v>
      </c>
      <c r="O153" s="16">
        <f>raw_data[[#This Row],[Req Date]]</f>
        <v>41635</v>
      </c>
      <c r="P153" s="4">
        <f>YEAR(cleaned_data[[#This Row],[Req Date]])</f>
        <v>2013</v>
      </c>
      <c r="Q153" s="4">
        <f>MONTH(cleaned_data[[#This Row],[Req Date]])</f>
        <v>12</v>
      </c>
      <c r="R153" s="4">
        <f>DAY(cleaned_data[[#This Row],[Req Date]])</f>
        <v>27</v>
      </c>
    </row>
    <row r="154" spans="1:18" ht="15.6" x14ac:dyDescent="0.25">
      <c r="A154" s="4" t="str">
        <f>raw_data[[#This Row],[First Name]]</f>
        <v>Knox</v>
      </c>
      <c r="B154" s="4" t="str">
        <f>raw_data[[#This Row],[Last Name]]</f>
        <v>Garrison</v>
      </c>
      <c r="C154" s="4" t="str">
        <f>TRIM(cleaned_data[[#This Row],[First Name]]&amp; " "&amp;cleaned_data[[#This Row],[Last Name]])</f>
        <v>Knox Garrison</v>
      </c>
      <c r="D154" s="4" t="str">
        <f>raw_data[[#This Row],[Phone]]</f>
        <v>(698) 251-6391</v>
      </c>
      <c r="E154" s="4" t="str">
        <f>MID(cleaned_data[[#This Row],[Phone]],FIND("(",cleaned_data[[#This Row],[Phone]])+1,3)</f>
        <v>698</v>
      </c>
      <c r="F154" s="4" t="str">
        <f>RIGHT(SUBSTITUTE(cleaned_data[[#This Row],[Phone]],"-",""),7)</f>
        <v>2516391</v>
      </c>
      <c r="G154" s="4" t="str">
        <f>SUBSTITUTE(SUBSTITUTE(SUBSTITUTE(cleaned_data[[#This Row],[Phone]],"(",""),")","")," ","")</f>
        <v>698251-6391</v>
      </c>
      <c r="H154" s="4" t="str">
        <f>raw_data[[#This Row],[Street Address]]</f>
        <v>3100 Mesa Verde Rd.</v>
      </c>
      <c r="I154" s="4" t="str">
        <f>TRIM(MID(cleaned_data[[#This Row],[Street Address]],FIND(" ",cleaned_data[[#This Row],[Street Address]])+1,LEN(cleaned_data[[#This Row],[Street Address]])))</f>
        <v>Mesa Verde Rd.</v>
      </c>
      <c r="J154" s="15" t="str">
        <f>raw_data[[#This Row],[Zipcode]]</f>
        <v>91077</v>
      </c>
      <c r="K154" s="4" t="str">
        <f>cleaned_data[[#This Row],[Zipcode]]&amp;" - "&amp;cleaned_data[[#This Row],[Street Name]]</f>
        <v>91077 - Mesa Verde Rd.</v>
      </c>
      <c r="L154" s="4" t="str">
        <f>LEFT(cleaned_data[[#This Row],[First Name]],3)&amp;LEFT(cleaned_data[[#This Row],[Last Name]],3)&amp;cleaned_data[[#This Row],[Area Code]]</f>
        <v>KnoGar698</v>
      </c>
      <c r="M154" s="4" t="str">
        <f>SUBSTITUTE(cleaned_data[[#This Row],[Street Address]],"St.","Street")</f>
        <v>3100 Mesa Verde Rd.</v>
      </c>
      <c r="N154" s="4" t="str">
        <f>LEFT(cleaned_data[[#This Row],[Street Address]],FIND(" ",cleaned_data[[#This Row],[Street Address]])-1)</f>
        <v>3100</v>
      </c>
      <c r="O154" s="16">
        <f>raw_data[[#This Row],[Req Date]]</f>
        <v>41625</v>
      </c>
      <c r="P154" s="4">
        <f>YEAR(cleaned_data[[#This Row],[Req Date]])</f>
        <v>2013</v>
      </c>
      <c r="Q154" s="4">
        <f>MONTH(cleaned_data[[#This Row],[Req Date]])</f>
        <v>12</v>
      </c>
      <c r="R154" s="4">
        <f>DAY(cleaned_data[[#This Row],[Req Date]])</f>
        <v>17</v>
      </c>
    </row>
    <row r="155" spans="1:18" ht="15.6" x14ac:dyDescent="0.25">
      <c r="A155" s="4" t="str">
        <f>raw_data[[#This Row],[First Name]]</f>
        <v>Shana</v>
      </c>
      <c r="B155" s="4" t="str">
        <f>raw_data[[#This Row],[Last Name]]</f>
        <v>Briggs</v>
      </c>
      <c r="C155" s="4" t="str">
        <f>TRIM(cleaned_data[[#This Row],[First Name]]&amp; " "&amp;cleaned_data[[#This Row],[Last Name]])</f>
        <v>Shana Briggs</v>
      </c>
      <c r="D155" s="4" t="str">
        <f>raw_data[[#This Row],[Phone]]</f>
        <v>(786) 391-0089</v>
      </c>
      <c r="E155" s="4" t="str">
        <f>MID(cleaned_data[[#This Row],[Phone]],FIND("(",cleaned_data[[#This Row],[Phone]])+1,3)</f>
        <v>786</v>
      </c>
      <c r="F155" s="4" t="str">
        <f>RIGHT(SUBSTITUTE(cleaned_data[[#This Row],[Phone]],"-",""),7)</f>
        <v>3910089</v>
      </c>
      <c r="G155" s="4" t="str">
        <f>SUBSTITUTE(SUBSTITUTE(SUBSTITUTE(cleaned_data[[#This Row],[Phone]],"(",""),")","")," ","")</f>
        <v>786391-0089</v>
      </c>
      <c r="H155" s="4" t="str">
        <f>raw_data[[#This Row],[Street Address]]</f>
        <v>6280 Auctor St.</v>
      </c>
      <c r="I155" s="4" t="str">
        <f>TRIM(MID(cleaned_data[[#This Row],[Street Address]],FIND(" ",cleaned_data[[#This Row],[Street Address]])+1,LEN(cleaned_data[[#This Row],[Street Address]])))</f>
        <v>Auctor St.</v>
      </c>
      <c r="J155" s="15" t="str">
        <f>raw_data[[#This Row],[Zipcode]]</f>
        <v>91101</v>
      </c>
      <c r="K155" s="4" t="str">
        <f>cleaned_data[[#This Row],[Zipcode]]&amp;" - "&amp;cleaned_data[[#This Row],[Street Name]]</f>
        <v>91101 - Auctor St.</v>
      </c>
      <c r="L155" s="4" t="str">
        <f>LEFT(cleaned_data[[#This Row],[First Name]],3)&amp;LEFT(cleaned_data[[#This Row],[Last Name]],3)&amp;cleaned_data[[#This Row],[Area Code]]</f>
        <v>ShaBri786</v>
      </c>
      <c r="M155" s="4" t="str">
        <f>SUBSTITUTE(cleaned_data[[#This Row],[Street Address]],"St.","Street")</f>
        <v>6280 Auctor Street</v>
      </c>
      <c r="N155" s="4" t="str">
        <f>LEFT(cleaned_data[[#This Row],[Street Address]],FIND(" ",cleaned_data[[#This Row],[Street Address]])-1)</f>
        <v>6280</v>
      </c>
      <c r="O155" s="16">
        <f>raw_data[[#This Row],[Req Date]]</f>
        <v>41656</v>
      </c>
      <c r="P155" s="4">
        <f>YEAR(cleaned_data[[#This Row],[Req Date]])</f>
        <v>2014</v>
      </c>
      <c r="Q155" s="4">
        <f>MONTH(cleaned_data[[#This Row],[Req Date]])</f>
        <v>1</v>
      </c>
      <c r="R155" s="4">
        <f>DAY(cleaned_data[[#This Row],[Req Date]])</f>
        <v>17</v>
      </c>
    </row>
    <row r="156" spans="1:18" ht="15.6" x14ac:dyDescent="0.25">
      <c r="A156" s="4" t="str">
        <f>raw_data[[#This Row],[First Name]]</f>
        <v>Bo</v>
      </c>
      <c r="B156" s="4" t="str">
        <f>raw_data[[#This Row],[Last Name]]</f>
        <v>Roach</v>
      </c>
      <c r="C156" s="4" t="str">
        <f>TRIM(cleaned_data[[#This Row],[First Name]]&amp; " "&amp;cleaned_data[[#This Row],[Last Name]])</f>
        <v>Bo Roach</v>
      </c>
      <c r="D156" s="4" t="str">
        <f>raw_data[[#This Row],[Phone]]</f>
        <v>(971) 733-0608</v>
      </c>
      <c r="E156" s="4" t="str">
        <f>MID(cleaned_data[[#This Row],[Phone]],FIND("(",cleaned_data[[#This Row],[Phone]])+1,3)</f>
        <v>971</v>
      </c>
      <c r="F156" s="4" t="str">
        <f>RIGHT(SUBSTITUTE(cleaned_data[[#This Row],[Phone]],"-",""),7)</f>
        <v>7330608</v>
      </c>
      <c r="G156" s="4" t="str">
        <f>SUBSTITUTE(SUBSTITUTE(SUBSTITUTE(cleaned_data[[#This Row],[Phone]],"(",""),")","")," ","")</f>
        <v>971733-0608</v>
      </c>
      <c r="H156" s="4" t="str">
        <f>raw_data[[#This Row],[Street Address]]</f>
        <v>4903 Ornare Road</v>
      </c>
      <c r="I156" s="4" t="str">
        <f>TRIM(MID(cleaned_data[[#This Row],[Street Address]],FIND(" ",cleaned_data[[#This Row],[Street Address]])+1,LEN(cleaned_data[[#This Row],[Street Address]])))</f>
        <v>Ornare Road</v>
      </c>
      <c r="J156" s="15" t="str">
        <f>raw_data[[#This Row],[Zipcode]]</f>
        <v>92199</v>
      </c>
      <c r="K156" s="4" t="str">
        <f>cleaned_data[[#This Row],[Zipcode]]&amp;" - "&amp;cleaned_data[[#This Row],[Street Name]]</f>
        <v>92199 - Ornare Road</v>
      </c>
      <c r="L156" s="4" t="str">
        <f>LEFT(cleaned_data[[#This Row],[First Name]],3)&amp;LEFT(cleaned_data[[#This Row],[Last Name]],3)&amp;cleaned_data[[#This Row],[Area Code]]</f>
        <v>BoRoa971</v>
      </c>
      <c r="M156" s="4" t="str">
        <f>SUBSTITUTE(cleaned_data[[#This Row],[Street Address]],"St.","Street")</f>
        <v>4903 Ornare Road</v>
      </c>
      <c r="N156" s="4" t="str">
        <f>LEFT(cleaned_data[[#This Row],[Street Address]],FIND(" ",cleaned_data[[#This Row],[Street Address]])-1)</f>
        <v>4903</v>
      </c>
      <c r="O156" s="16">
        <f>raw_data[[#This Row],[Req Date]]</f>
        <v>41687</v>
      </c>
      <c r="P156" s="4">
        <f>YEAR(cleaned_data[[#This Row],[Req Date]])</f>
        <v>2014</v>
      </c>
      <c r="Q156" s="4">
        <f>MONTH(cleaned_data[[#This Row],[Req Date]])</f>
        <v>2</v>
      </c>
      <c r="R156" s="4">
        <f>DAY(cleaned_data[[#This Row],[Req Date]])</f>
        <v>17</v>
      </c>
    </row>
    <row r="157" spans="1:18" ht="15.6" x14ac:dyDescent="0.25">
      <c r="A157" s="4" t="str">
        <f>raw_data[[#This Row],[First Name]]</f>
        <v>Sylvia</v>
      </c>
      <c r="B157" s="4" t="str">
        <f>raw_data[[#This Row],[Last Name]]</f>
        <v>Fuller</v>
      </c>
      <c r="C157" s="4" t="str">
        <f>TRIM(cleaned_data[[#This Row],[First Name]]&amp; " "&amp;cleaned_data[[#This Row],[Last Name]])</f>
        <v>Sylvia Fuller</v>
      </c>
      <c r="D157" s="4" t="str">
        <f>raw_data[[#This Row],[Phone]]</f>
        <v>(981) 788-0790</v>
      </c>
      <c r="E157" s="4" t="str">
        <f>MID(cleaned_data[[#This Row],[Phone]],FIND("(",cleaned_data[[#This Row],[Phone]])+1,3)</f>
        <v>981</v>
      </c>
      <c r="F157" s="4" t="str">
        <f>RIGHT(SUBSTITUTE(cleaned_data[[#This Row],[Phone]],"-",""),7)</f>
        <v>7880790</v>
      </c>
      <c r="G157" s="4" t="str">
        <f>SUBSTITUTE(SUBSTITUTE(SUBSTITUTE(cleaned_data[[#This Row],[Phone]],"(",""),")","")," ","")</f>
        <v>981788-0790</v>
      </c>
      <c r="H157" s="4" t="str">
        <f>raw_data[[#This Row],[Street Address]]</f>
        <v>4472 W. Ante Road</v>
      </c>
      <c r="I157" s="4" t="str">
        <f>TRIM(MID(cleaned_data[[#This Row],[Street Address]],FIND(" ",cleaned_data[[#This Row],[Street Address]])+1,LEN(cleaned_data[[#This Row],[Street Address]])))</f>
        <v>W. Ante Road</v>
      </c>
      <c r="J157" s="15" t="str">
        <f>raw_data[[#This Row],[Zipcode]]</f>
        <v>92201</v>
      </c>
      <c r="K157" s="4" t="str">
        <f>cleaned_data[[#This Row],[Zipcode]]&amp;" - "&amp;cleaned_data[[#This Row],[Street Name]]</f>
        <v>92201 - W. Ante Road</v>
      </c>
      <c r="L157" s="4" t="str">
        <f>LEFT(cleaned_data[[#This Row],[First Name]],3)&amp;LEFT(cleaned_data[[#This Row],[Last Name]],3)&amp;cleaned_data[[#This Row],[Area Code]]</f>
        <v>SylFul981</v>
      </c>
      <c r="M157" s="4" t="str">
        <f>SUBSTITUTE(cleaned_data[[#This Row],[Street Address]],"St.","Street")</f>
        <v>4472 W. Ante Road</v>
      </c>
      <c r="N157" s="4" t="str">
        <f>LEFT(cleaned_data[[#This Row],[Street Address]],FIND(" ",cleaned_data[[#This Row],[Street Address]])-1)</f>
        <v>4472</v>
      </c>
      <c r="O157" s="16">
        <f>raw_data[[#This Row],[Req Date]]</f>
        <v>41665</v>
      </c>
      <c r="P157" s="4">
        <f>YEAR(cleaned_data[[#This Row],[Req Date]])</f>
        <v>2014</v>
      </c>
      <c r="Q157" s="4">
        <f>MONTH(cleaned_data[[#This Row],[Req Date]])</f>
        <v>1</v>
      </c>
      <c r="R157" s="4">
        <f>DAY(cleaned_data[[#This Row],[Req Date]])</f>
        <v>26</v>
      </c>
    </row>
    <row r="158" spans="1:18" ht="15.6" x14ac:dyDescent="0.25">
      <c r="A158" s="4" t="str">
        <f>raw_data[[#This Row],[First Name]]</f>
        <v>Lani</v>
      </c>
      <c r="B158" s="4" t="str">
        <f>raw_data[[#This Row],[Last Name]]</f>
        <v>Lloyd</v>
      </c>
      <c r="C158" s="4" t="str">
        <f>TRIM(cleaned_data[[#This Row],[First Name]]&amp; " "&amp;cleaned_data[[#This Row],[Last Name]])</f>
        <v>Lani Lloyd</v>
      </c>
      <c r="D158" s="4" t="str">
        <f>raw_data[[#This Row],[Phone]]</f>
        <v>(436) 710-6194</v>
      </c>
      <c r="E158" s="4" t="str">
        <f>MID(cleaned_data[[#This Row],[Phone]],FIND("(",cleaned_data[[#This Row],[Phone]])+1,3)</f>
        <v>436</v>
      </c>
      <c r="F158" s="4" t="str">
        <f>RIGHT(SUBSTITUTE(cleaned_data[[#This Row],[Phone]],"-",""),7)</f>
        <v>7106194</v>
      </c>
      <c r="G158" s="4" t="str">
        <f>SUBSTITUTE(SUBSTITUTE(SUBSTITUTE(cleaned_data[[#This Row],[Phone]],"(",""),")","")," ","")</f>
        <v>436710-6194</v>
      </c>
      <c r="H158" s="4" t="str">
        <f>raw_data[[#This Row],[Street Address]]</f>
        <v>7777 Egress Street</v>
      </c>
      <c r="I158" s="4" t="str">
        <f>TRIM(MID(cleaned_data[[#This Row],[Street Address]],FIND(" ",cleaned_data[[#This Row],[Street Address]])+1,LEN(cleaned_data[[#This Row],[Street Address]])))</f>
        <v>Egress Street</v>
      </c>
      <c r="J158" s="15" t="str">
        <f>raw_data[[#This Row],[Zipcode]]</f>
        <v>95117</v>
      </c>
      <c r="K158" s="4" t="str">
        <f>cleaned_data[[#This Row],[Zipcode]]&amp;" - "&amp;cleaned_data[[#This Row],[Street Name]]</f>
        <v>95117 - Egress Street</v>
      </c>
      <c r="L158" s="4" t="str">
        <f>LEFT(cleaned_data[[#This Row],[First Name]],3)&amp;LEFT(cleaned_data[[#This Row],[Last Name]],3)&amp;cleaned_data[[#This Row],[Area Code]]</f>
        <v>LanLlo436</v>
      </c>
      <c r="M158" s="4" t="str">
        <f>SUBSTITUTE(cleaned_data[[#This Row],[Street Address]],"St.","Street")</f>
        <v>7777 Egress Street</v>
      </c>
      <c r="N158" s="4" t="str">
        <f>LEFT(cleaned_data[[#This Row],[Street Address]],FIND(" ",cleaned_data[[#This Row],[Street Address]])-1)</f>
        <v>7777</v>
      </c>
      <c r="O158" s="16">
        <f>raw_data[[#This Row],[Req Date]]</f>
        <v>41692</v>
      </c>
      <c r="P158" s="4">
        <f>YEAR(cleaned_data[[#This Row],[Req Date]])</f>
        <v>2014</v>
      </c>
      <c r="Q158" s="4">
        <f>MONTH(cleaned_data[[#This Row],[Req Date]])</f>
        <v>2</v>
      </c>
      <c r="R158" s="4">
        <f>DAY(cleaned_data[[#This Row],[Req Date]])</f>
        <v>22</v>
      </c>
    </row>
    <row r="159" spans="1:18" ht="15.6" x14ac:dyDescent="0.25">
      <c r="A159" s="4" t="str">
        <f>raw_data[[#This Row],[First Name]]</f>
        <v>Brenda</v>
      </c>
      <c r="B159" s="4" t="str">
        <f>raw_data[[#This Row],[Last Name]]</f>
        <v>Rosales</v>
      </c>
      <c r="C159" s="4" t="str">
        <f>TRIM(cleaned_data[[#This Row],[First Name]]&amp; " "&amp;cleaned_data[[#This Row],[Last Name]])</f>
        <v>Brenda Rosales</v>
      </c>
      <c r="D159" s="4" t="str">
        <f>raw_data[[#This Row],[Phone]]</f>
        <v>(311) 900-3446</v>
      </c>
      <c r="E159" s="4" t="str">
        <f>MID(cleaned_data[[#This Row],[Phone]],FIND("(",cleaned_data[[#This Row],[Phone]])+1,3)</f>
        <v>311</v>
      </c>
      <c r="F159" s="4" t="str">
        <f>RIGHT(SUBSTITUTE(cleaned_data[[#This Row],[Phone]],"-",""),7)</f>
        <v>9003446</v>
      </c>
      <c r="G159" s="4" t="str">
        <f>SUBSTITUTE(SUBSTITUTE(SUBSTITUTE(cleaned_data[[#This Row],[Phone]],"(",""),")","")," ","")</f>
        <v>311900-3446</v>
      </c>
      <c r="H159" s="4" t="str">
        <f>raw_data[[#This Row],[Street Address]]</f>
        <v xml:space="preserve">1473 Trifle Dr. </v>
      </c>
      <c r="I159" s="4" t="str">
        <f>TRIM(MID(cleaned_data[[#This Row],[Street Address]],FIND(" ",cleaned_data[[#This Row],[Street Address]])+1,LEN(cleaned_data[[#This Row],[Street Address]])))</f>
        <v>Trifle Dr.</v>
      </c>
      <c r="J159" s="15" t="str">
        <f>raw_data[[#This Row],[Zipcode]]</f>
        <v>95248</v>
      </c>
      <c r="K159" s="4" t="str">
        <f>cleaned_data[[#This Row],[Zipcode]]&amp;" - "&amp;cleaned_data[[#This Row],[Street Name]]</f>
        <v>95248 - Trifle Dr.</v>
      </c>
      <c r="L159" s="4" t="str">
        <f>LEFT(cleaned_data[[#This Row],[First Name]],3)&amp;LEFT(cleaned_data[[#This Row],[Last Name]],3)&amp;cleaned_data[[#This Row],[Area Code]]</f>
        <v>BreRos311</v>
      </c>
      <c r="M159" s="4" t="str">
        <f>SUBSTITUTE(cleaned_data[[#This Row],[Street Address]],"St.","Street")</f>
        <v xml:space="preserve">1473 Trifle Dr. </v>
      </c>
      <c r="N159" s="4" t="str">
        <f>LEFT(cleaned_data[[#This Row],[Street Address]],FIND(" ",cleaned_data[[#This Row],[Street Address]])-1)</f>
        <v>1473</v>
      </c>
      <c r="O159" s="16">
        <f>raw_data[[#This Row],[Req Date]]</f>
        <v>41692</v>
      </c>
      <c r="P159" s="4">
        <f>YEAR(cleaned_data[[#This Row],[Req Date]])</f>
        <v>2014</v>
      </c>
      <c r="Q159" s="4">
        <f>MONTH(cleaned_data[[#This Row],[Req Date]])</f>
        <v>2</v>
      </c>
      <c r="R159" s="4">
        <f>DAY(cleaned_data[[#This Row],[Req Date]])</f>
        <v>22</v>
      </c>
    </row>
    <row r="160" spans="1:18" ht="15.6" x14ac:dyDescent="0.25">
      <c r="A160" s="4" t="str">
        <f>raw_data[[#This Row],[First Name]]</f>
        <v>Xenos</v>
      </c>
      <c r="B160" s="4" t="str">
        <f>raw_data[[#This Row],[Last Name]]</f>
        <v>Campos</v>
      </c>
      <c r="C160" s="4" t="str">
        <f>TRIM(cleaned_data[[#This Row],[First Name]]&amp; " "&amp;cleaned_data[[#This Row],[Last Name]])</f>
        <v>Xenos Campos</v>
      </c>
      <c r="D160" s="4" t="str">
        <f>raw_data[[#This Row],[Phone]]</f>
        <v>(676) 547-9042</v>
      </c>
      <c r="E160" s="4" t="str">
        <f>MID(cleaned_data[[#This Row],[Phone]],FIND("(",cleaned_data[[#This Row],[Phone]])+1,3)</f>
        <v>676</v>
      </c>
      <c r="F160" s="4" t="str">
        <f>RIGHT(SUBSTITUTE(cleaned_data[[#This Row],[Phone]],"-",""),7)</f>
        <v>5479042</v>
      </c>
      <c r="G160" s="4" t="str">
        <f>SUBSTITUTE(SUBSTITUTE(SUBSTITUTE(cleaned_data[[#This Row],[Phone]],"(",""),")","")," ","")</f>
        <v>676547-9042</v>
      </c>
      <c r="H160" s="4" t="str">
        <f>raw_data[[#This Row],[Street Address]]</f>
        <v>6929 Salinas Road</v>
      </c>
      <c r="I160" s="4" t="str">
        <f>TRIM(MID(cleaned_data[[#This Row],[Street Address]],FIND(" ",cleaned_data[[#This Row],[Street Address]])+1,LEN(cleaned_data[[#This Row],[Street Address]])))</f>
        <v>Salinas Road</v>
      </c>
      <c r="J160" s="15" t="str">
        <f>raw_data[[#This Row],[Zipcode]]</f>
        <v>95249</v>
      </c>
      <c r="K160" s="4" t="str">
        <f>cleaned_data[[#This Row],[Zipcode]]&amp;" - "&amp;cleaned_data[[#This Row],[Street Name]]</f>
        <v>95249 - Salinas Road</v>
      </c>
      <c r="L160" s="4" t="str">
        <f>LEFT(cleaned_data[[#This Row],[First Name]],3)&amp;LEFT(cleaned_data[[#This Row],[Last Name]],3)&amp;cleaned_data[[#This Row],[Area Code]]</f>
        <v>XenCam676</v>
      </c>
      <c r="M160" s="4" t="str">
        <f>SUBSTITUTE(cleaned_data[[#This Row],[Street Address]],"St.","Street")</f>
        <v>6929 Salinas Road</v>
      </c>
      <c r="N160" s="4" t="str">
        <f>LEFT(cleaned_data[[#This Row],[Street Address]],FIND(" ",cleaned_data[[#This Row],[Street Address]])-1)</f>
        <v>6929</v>
      </c>
      <c r="O160" s="16">
        <f>raw_data[[#This Row],[Req Date]]</f>
        <v>41683</v>
      </c>
      <c r="P160" s="4">
        <f>YEAR(cleaned_data[[#This Row],[Req Date]])</f>
        <v>2014</v>
      </c>
      <c r="Q160" s="4">
        <f>MONTH(cleaned_data[[#This Row],[Req Date]])</f>
        <v>2</v>
      </c>
      <c r="R160" s="4">
        <f>DAY(cleaned_data[[#This Row],[Req Date]])</f>
        <v>13</v>
      </c>
    </row>
    <row r="161" spans="1:18" ht="15.6" x14ac:dyDescent="0.25">
      <c r="A161" s="4" t="str">
        <f>raw_data[[#This Row],[First Name]]</f>
        <v>Marsden</v>
      </c>
      <c r="B161" s="4" t="str">
        <f>raw_data[[#This Row],[Last Name]]</f>
        <v>Byers</v>
      </c>
      <c r="C161" s="4" t="str">
        <f>TRIM(cleaned_data[[#This Row],[First Name]]&amp; " "&amp;cleaned_data[[#This Row],[Last Name]])</f>
        <v>Marsden Byers</v>
      </c>
      <c r="D161" s="4" t="str">
        <f>raw_data[[#This Row],[Phone]]</f>
        <v>(180) 419-0558</v>
      </c>
      <c r="E161" s="4" t="str">
        <f>MID(cleaned_data[[#This Row],[Phone]],FIND("(",cleaned_data[[#This Row],[Phone]])+1,3)</f>
        <v>180</v>
      </c>
      <c r="F161" s="4" t="str">
        <f>RIGHT(SUBSTITUTE(cleaned_data[[#This Row],[Phone]],"-",""),7)</f>
        <v>4190558</v>
      </c>
      <c r="G161" s="4" t="str">
        <f>SUBSTITUTE(SUBSTITUTE(SUBSTITUTE(cleaned_data[[#This Row],[Phone]],"(",""),")","")," ","")</f>
        <v>180419-0558</v>
      </c>
      <c r="H161" s="4" t="str">
        <f>raw_data[[#This Row],[Street Address]]</f>
        <v>9829 Auction Street</v>
      </c>
      <c r="I161" s="4" t="str">
        <f>TRIM(MID(cleaned_data[[#This Row],[Street Address]],FIND(" ",cleaned_data[[#This Row],[Street Address]])+1,LEN(cleaned_data[[#This Row],[Street Address]])))</f>
        <v>Auction Street</v>
      </c>
      <c r="J161" s="15" t="str">
        <f>raw_data[[#This Row],[Zipcode]]</f>
        <v>95251</v>
      </c>
      <c r="K161" s="4" t="str">
        <f>cleaned_data[[#This Row],[Zipcode]]&amp;" - "&amp;cleaned_data[[#This Row],[Street Name]]</f>
        <v>95251 - Auction Street</v>
      </c>
      <c r="L161" s="4" t="str">
        <f>LEFT(cleaned_data[[#This Row],[First Name]],3)&amp;LEFT(cleaned_data[[#This Row],[Last Name]],3)&amp;cleaned_data[[#This Row],[Area Code]]</f>
        <v>MarBye180</v>
      </c>
      <c r="M161" s="4" t="str">
        <f>SUBSTITUTE(cleaned_data[[#This Row],[Street Address]],"St.","Street")</f>
        <v>9829 Auction Street</v>
      </c>
      <c r="N161" s="4" t="str">
        <f>LEFT(cleaned_data[[#This Row],[Street Address]],FIND(" ",cleaned_data[[#This Row],[Street Address]])-1)</f>
        <v>9829</v>
      </c>
      <c r="O161" s="16">
        <f>raw_data[[#This Row],[Req Date]]</f>
        <v>41620</v>
      </c>
      <c r="P161" s="4">
        <f>YEAR(cleaned_data[[#This Row],[Req Date]])</f>
        <v>2013</v>
      </c>
      <c r="Q161" s="4">
        <f>MONTH(cleaned_data[[#This Row],[Req Date]])</f>
        <v>12</v>
      </c>
      <c r="R161" s="4">
        <f>DAY(cleaned_data[[#This Row],[Req Date]])</f>
        <v>12</v>
      </c>
    </row>
    <row r="162" spans="1:18" ht="15.6" x14ac:dyDescent="0.25">
      <c r="A162" s="4" t="str">
        <f>raw_data[[#This Row],[First Name]]</f>
        <v>Hu</v>
      </c>
      <c r="B162" s="4" t="str">
        <f>raw_data[[#This Row],[Last Name]]</f>
        <v>Dalton</v>
      </c>
      <c r="C162" s="4" t="str">
        <f>TRIM(cleaned_data[[#This Row],[First Name]]&amp; " "&amp;cleaned_data[[#This Row],[Last Name]])</f>
        <v>Hu Dalton</v>
      </c>
      <c r="D162" s="4" t="str">
        <f>raw_data[[#This Row],[Phone]]</f>
        <v>(848) 811-7025</v>
      </c>
      <c r="E162" s="4" t="str">
        <f>MID(cleaned_data[[#This Row],[Phone]],FIND("(",cleaned_data[[#This Row],[Phone]])+1,3)</f>
        <v>848</v>
      </c>
      <c r="F162" s="4" t="str">
        <f>RIGHT(SUBSTITUTE(cleaned_data[[#This Row],[Phone]],"-",""),7)</f>
        <v>8117025</v>
      </c>
      <c r="G162" s="4" t="str">
        <f>SUBSTITUTE(SUBSTITUTE(SUBSTITUTE(cleaned_data[[#This Row],[Phone]],"(",""),")","")," ","")</f>
        <v>848811-7025</v>
      </c>
      <c r="H162" s="4" t="str">
        <f>raw_data[[#This Row],[Street Address]]</f>
        <v>6467 Inn Road</v>
      </c>
      <c r="I162" s="4" t="str">
        <f>TRIM(MID(cleaned_data[[#This Row],[Street Address]],FIND(" ",cleaned_data[[#This Row],[Street Address]])+1,LEN(cleaned_data[[#This Row],[Street Address]])))</f>
        <v>Inn Road</v>
      </c>
      <c r="J162" s="15" t="str">
        <f>raw_data[[#This Row],[Zipcode]]</f>
        <v>96721</v>
      </c>
      <c r="K162" s="4" t="str">
        <f>cleaned_data[[#This Row],[Zipcode]]&amp;" - "&amp;cleaned_data[[#This Row],[Street Name]]</f>
        <v>96721 - Inn Road</v>
      </c>
      <c r="L162" s="4" t="str">
        <f>LEFT(cleaned_data[[#This Row],[First Name]],3)&amp;LEFT(cleaned_data[[#This Row],[Last Name]],3)&amp;cleaned_data[[#This Row],[Area Code]]</f>
        <v>HuDal848</v>
      </c>
      <c r="M162" s="4" t="str">
        <f>SUBSTITUTE(cleaned_data[[#This Row],[Street Address]],"St.","Street")</f>
        <v>6467 Inn Road</v>
      </c>
      <c r="N162" s="4" t="str">
        <f>LEFT(cleaned_data[[#This Row],[Street Address]],FIND(" ",cleaned_data[[#This Row],[Street Address]])-1)</f>
        <v>6467</v>
      </c>
      <c r="O162" s="16">
        <f>raw_data[[#This Row],[Req Date]]</f>
        <v>41699</v>
      </c>
      <c r="P162" s="4">
        <f>YEAR(cleaned_data[[#This Row],[Req Date]])</f>
        <v>2014</v>
      </c>
      <c r="Q162" s="4">
        <f>MONTH(cleaned_data[[#This Row],[Req Date]])</f>
        <v>3</v>
      </c>
      <c r="R162" s="4">
        <f>DAY(cleaned_data[[#This Row],[Req Date]])</f>
        <v>1</v>
      </c>
    </row>
    <row r="163" spans="1:18" ht="15.6" x14ac:dyDescent="0.25">
      <c r="A163" s="4" t="str">
        <f>raw_data[[#This Row],[First Name]]</f>
        <v>Kylan</v>
      </c>
      <c r="B163" s="4" t="str">
        <f>raw_data[[#This Row],[Last Name]]</f>
        <v>Joseph</v>
      </c>
      <c r="C163" s="4" t="str">
        <f>TRIM(cleaned_data[[#This Row],[First Name]]&amp; " "&amp;cleaned_data[[#This Row],[Last Name]])</f>
        <v>Kylan Joseph</v>
      </c>
      <c r="D163" s="4" t="str">
        <f>raw_data[[#This Row],[Phone]]</f>
        <v>(287) 781-4598</v>
      </c>
      <c r="E163" s="4" t="str">
        <f>MID(cleaned_data[[#This Row],[Phone]],FIND("(",cleaned_data[[#This Row],[Phone]])+1,3)</f>
        <v>287</v>
      </c>
      <c r="F163" s="4" t="str">
        <f>RIGHT(SUBSTITUTE(cleaned_data[[#This Row],[Phone]],"-",""),7)</f>
        <v>7814598</v>
      </c>
      <c r="G163" s="4" t="str">
        <f>SUBSTITUTE(SUBSTITUTE(SUBSTITUTE(cleaned_data[[#This Row],[Phone]],"(",""),")","")," ","")</f>
        <v>287781-4598</v>
      </c>
      <c r="H163" s="4" t="str">
        <f>raw_data[[#This Row],[Street Address]]</f>
        <v>4956 Meltdown Road</v>
      </c>
      <c r="I163" s="4" t="str">
        <f>TRIM(MID(cleaned_data[[#This Row],[Street Address]],FIND(" ",cleaned_data[[#This Row],[Street Address]])+1,LEN(cleaned_data[[#This Row],[Street Address]])))</f>
        <v>Meltdown Road</v>
      </c>
      <c r="J163" s="15" t="str">
        <f>raw_data[[#This Row],[Zipcode]]</f>
        <v>96722</v>
      </c>
      <c r="K163" s="4" t="str">
        <f>cleaned_data[[#This Row],[Zipcode]]&amp;" - "&amp;cleaned_data[[#This Row],[Street Name]]</f>
        <v>96722 - Meltdown Road</v>
      </c>
      <c r="L163" s="4" t="str">
        <f>LEFT(cleaned_data[[#This Row],[First Name]],3)&amp;LEFT(cleaned_data[[#This Row],[Last Name]],3)&amp;cleaned_data[[#This Row],[Area Code]]</f>
        <v>KylJos287</v>
      </c>
      <c r="M163" s="4" t="str">
        <f>SUBSTITUTE(cleaned_data[[#This Row],[Street Address]],"St.","Street")</f>
        <v>4956 Meltdown Road</v>
      </c>
      <c r="N163" s="4" t="str">
        <f>LEFT(cleaned_data[[#This Row],[Street Address]],FIND(" ",cleaned_data[[#This Row],[Street Address]])-1)</f>
        <v>4956</v>
      </c>
      <c r="O163" s="16">
        <f>raw_data[[#This Row],[Req Date]]</f>
        <v>41666</v>
      </c>
      <c r="P163" s="4">
        <f>YEAR(cleaned_data[[#This Row],[Req Date]])</f>
        <v>2014</v>
      </c>
      <c r="Q163" s="4">
        <f>MONTH(cleaned_data[[#This Row],[Req Date]])</f>
        <v>1</v>
      </c>
      <c r="R163" s="4">
        <f>DAY(cleaned_data[[#This Row],[Req Date]])</f>
        <v>27</v>
      </c>
    </row>
    <row r="164" spans="1:18" ht="15.6" x14ac:dyDescent="0.25">
      <c r="A164" s="4" t="str">
        <f>raw_data[[#This Row],[First Name]]</f>
        <v>Noelani</v>
      </c>
      <c r="B164" s="4" t="str">
        <f>raw_data[[#This Row],[Last Name]]</f>
        <v>Bailey</v>
      </c>
      <c r="C164" s="4" t="str">
        <f>TRIM(cleaned_data[[#This Row],[First Name]]&amp; " "&amp;cleaned_data[[#This Row],[Last Name]])</f>
        <v>Noelani Bailey</v>
      </c>
      <c r="D164" s="4" t="str">
        <f>raw_data[[#This Row],[Phone]]</f>
        <v>(974) 432-8936</v>
      </c>
      <c r="E164" s="4" t="str">
        <f>MID(cleaned_data[[#This Row],[Phone]],FIND("(",cleaned_data[[#This Row],[Phone]])+1,3)</f>
        <v>974</v>
      </c>
      <c r="F164" s="4" t="str">
        <f>RIGHT(SUBSTITUTE(cleaned_data[[#This Row],[Phone]],"-",""),7)</f>
        <v>4328936</v>
      </c>
      <c r="G164" s="4" t="str">
        <f>SUBSTITUTE(SUBSTITUTE(SUBSTITUTE(cleaned_data[[#This Row],[Phone]],"(",""),")","")," ","")</f>
        <v>974432-8936</v>
      </c>
      <c r="H164" s="4" t="str">
        <f>raw_data[[#This Row],[Street Address]]</f>
        <v>6337 Dis Street</v>
      </c>
      <c r="I164" s="4" t="str">
        <f>TRIM(MID(cleaned_data[[#This Row],[Street Address]],FIND(" ",cleaned_data[[#This Row],[Street Address]])+1,LEN(cleaned_data[[#This Row],[Street Address]])))</f>
        <v>Dis Street</v>
      </c>
      <c r="J164" s="15" t="str">
        <f>raw_data[[#This Row],[Zipcode]]</f>
        <v>96786</v>
      </c>
      <c r="K164" s="4" t="str">
        <f>cleaned_data[[#This Row],[Zipcode]]&amp;" - "&amp;cleaned_data[[#This Row],[Street Name]]</f>
        <v>96786 - Dis Street</v>
      </c>
      <c r="L164" s="4" t="str">
        <f>LEFT(cleaned_data[[#This Row],[First Name]],3)&amp;LEFT(cleaned_data[[#This Row],[Last Name]],3)&amp;cleaned_data[[#This Row],[Area Code]]</f>
        <v>NoeBai974</v>
      </c>
      <c r="M164" s="4" t="str">
        <f>SUBSTITUTE(cleaned_data[[#This Row],[Street Address]],"St.","Street")</f>
        <v>6337 Dis Street</v>
      </c>
      <c r="N164" s="4" t="str">
        <f>LEFT(cleaned_data[[#This Row],[Street Address]],FIND(" ",cleaned_data[[#This Row],[Street Address]])-1)</f>
        <v>6337</v>
      </c>
      <c r="O164" s="16">
        <f>raw_data[[#This Row],[Req Date]]</f>
        <v>41663</v>
      </c>
      <c r="P164" s="4">
        <f>YEAR(cleaned_data[[#This Row],[Req Date]])</f>
        <v>2014</v>
      </c>
      <c r="Q164" s="4">
        <f>MONTH(cleaned_data[[#This Row],[Req Date]])</f>
        <v>1</v>
      </c>
      <c r="R164" s="4">
        <f>DAY(cleaned_data[[#This Row],[Req Date]])</f>
        <v>24</v>
      </c>
    </row>
    <row r="165" spans="1:18" ht="15.6" x14ac:dyDescent="0.25">
      <c r="A165" s="4" t="str">
        <f>raw_data[[#This Row],[First Name]]</f>
        <v>Octavius</v>
      </c>
      <c r="B165" s="4" t="str">
        <f>raw_data[[#This Row],[Last Name]]</f>
        <v>Hines</v>
      </c>
      <c r="C165" s="4" t="str">
        <f>TRIM(cleaned_data[[#This Row],[First Name]]&amp; " "&amp;cleaned_data[[#This Row],[Last Name]])</f>
        <v>Octavius Hines</v>
      </c>
      <c r="D165" s="4" t="str">
        <f>raw_data[[#This Row],[Phone]]</f>
        <v>(670) 806-0968</v>
      </c>
      <c r="E165" s="4" t="str">
        <f>MID(cleaned_data[[#This Row],[Phone]],FIND("(",cleaned_data[[#This Row],[Phone]])+1,3)</f>
        <v>670</v>
      </c>
      <c r="F165" s="4" t="str">
        <f>RIGHT(SUBSTITUTE(cleaned_data[[#This Row],[Phone]],"-",""),7)</f>
        <v>8060968</v>
      </c>
      <c r="G165" s="4" t="str">
        <f>SUBSTITUTE(SUBSTITUTE(SUBSTITUTE(cleaned_data[[#This Row],[Phone]],"(",""),")","")," ","")</f>
        <v>670806-0968</v>
      </c>
      <c r="H165" s="4" t="str">
        <f>raw_data[[#This Row],[Street Address]]</f>
        <v>8240 30th Street</v>
      </c>
      <c r="I165" s="4" t="str">
        <f>TRIM(MID(cleaned_data[[#This Row],[Street Address]],FIND(" ",cleaned_data[[#This Row],[Street Address]])+1,LEN(cleaned_data[[#This Row],[Street Address]])))</f>
        <v>30th Street</v>
      </c>
      <c r="J165" s="15" t="str">
        <f>raw_data[[#This Row],[Zipcode]]</f>
        <v>96788</v>
      </c>
      <c r="K165" s="4" t="str">
        <f>cleaned_data[[#This Row],[Zipcode]]&amp;" - "&amp;cleaned_data[[#This Row],[Street Name]]</f>
        <v>96788 - 30th Street</v>
      </c>
      <c r="L165" s="4" t="str">
        <f>LEFT(cleaned_data[[#This Row],[First Name]],3)&amp;LEFT(cleaned_data[[#This Row],[Last Name]],3)&amp;cleaned_data[[#This Row],[Area Code]]</f>
        <v>OctHin670</v>
      </c>
      <c r="M165" s="4" t="str">
        <f>SUBSTITUTE(cleaned_data[[#This Row],[Street Address]],"St.","Street")</f>
        <v>8240 30th Street</v>
      </c>
      <c r="N165" s="4" t="str">
        <f>LEFT(cleaned_data[[#This Row],[Street Address]],FIND(" ",cleaned_data[[#This Row],[Street Address]])-1)</f>
        <v>8240</v>
      </c>
      <c r="O165" s="16">
        <f>raw_data[[#This Row],[Req Date]]</f>
        <v>41616</v>
      </c>
      <c r="P165" s="4">
        <f>YEAR(cleaned_data[[#This Row],[Req Date]])</f>
        <v>2013</v>
      </c>
      <c r="Q165" s="4">
        <f>MONTH(cleaned_data[[#This Row],[Req Date]])</f>
        <v>12</v>
      </c>
      <c r="R165" s="4">
        <f>DAY(cleaned_data[[#This Row],[Req Date]])</f>
        <v>8</v>
      </c>
    </row>
    <row r="166" spans="1:18" ht="15.6" x14ac:dyDescent="0.25">
      <c r="A166" s="4" t="str">
        <f>raw_data[[#This Row],[First Name]]</f>
        <v>Zena</v>
      </c>
      <c r="B166" s="4" t="str">
        <f>raw_data[[#This Row],[Last Name]]</f>
        <v>Keller</v>
      </c>
      <c r="C166" s="4" t="str">
        <f>TRIM(cleaned_data[[#This Row],[First Name]]&amp; " "&amp;cleaned_data[[#This Row],[Last Name]])</f>
        <v>Zena Keller</v>
      </c>
      <c r="D166" s="4" t="str">
        <f>raw_data[[#This Row],[Phone]]</f>
        <v>(220) 674-5712</v>
      </c>
      <c r="E166" s="4" t="str">
        <f>MID(cleaned_data[[#This Row],[Phone]],FIND("(",cleaned_data[[#This Row],[Phone]])+1,3)</f>
        <v>220</v>
      </c>
      <c r="F166" s="4" t="str">
        <f>RIGHT(SUBSTITUTE(cleaned_data[[#This Row],[Phone]],"-",""),7)</f>
        <v>6745712</v>
      </c>
      <c r="G166" s="4" t="str">
        <f>SUBSTITUTE(SUBSTITUTE(SUBSTITUTE(cleaned_data[[#This Row],[Phone]],"(",""),")","")," ","")</f>
        <v>220674-5712</v>
      </c>
      <c r="H166" s="4" t="str">
        <f>raw_data[[#This Row],[Street Address]]</f>
        <v>255 Miles Drive</v>
      </c>
      <c r="I166" s="4" t="str">
        <f>TRIM(MID(cleaned_data[[#This Row],[Street Address]],FIND(" ",cleaned_data[[#This Row],[Street Address]])+1,LEN(cleaned_data[[#This Row],[Street Address]])))</f>
        <v>Miles Drive</v>
      </c>
      <c r="J166" s="15" t="str">
        <f>raw_data[[#This Row],[Zipcode]]</f>
        <v>96837</v>
      </c>
      <c r="K166" s="4" t="str">
        <f>cleaned_data[[#This Row],[Zipcode]]&amp;" - "&amp;cleaned_data[[#This Row],[Street Name]]</f>
        <v>96837 - Miles Drive</v>
      </c>
      <c r="L166" s="4" t="str">
        <f>LEFT(cleaned_data[[#This Row],[First Name]],3)&amp;LEFT(cleaned_data[[#This Row],[Last Name]],3)&amp;cleaned_data[[#This Row],[Area Code]]</f>
        <v>ZenKel220</v>
      </c>
      <c r="M166" s="4" t="str">
        <f>SUBSTITUTE(cleaned_data[[#This Row],[Street Address]],"St.","Street")</f>
        <v>255 Miles Drive</v>
      </c>
      <c r="N166" s="4" t="str">
        <f>LEFT(cleaned_data[[#This Row],[Street Address]],FIND(" ",cleaned_data[[#This Row],[Street Address]])-1)</f>
        <v>255</v>
      </c>
      <c r="O166" s="16">
        <f>raw_data[[#This Row],[Req Date]]</f>
        <v>41640</v>
      </c>
      <c r="P166" s="4">
        <f>YEAR(cleaned_data[[#This Row],[Req Date]])</f>
        <v>2014</v>
      </c>
      <c r="Q166" s="4">
        <f>MONTH(cleaned_data[[#This Row],[Req Date]])</f>
        <v>1</v>
      </c>
      <c r="R166" s="4">
        <f>DAY(cleaned_data[[#This Row],[Req Date]])</f>
        <v>1</v>
      </c>
    </row>
    <row r="167" spans="1:18" ht="15.6" x14ac:dyDescent="0.25">
      <c r="A167" s="4" t="str">
        <f>raw_data[[#This Row],[First Name]]</f>
        <v>Brianna</v>
      </c>
      <c r="B167" s="4" t="str">
        <f>raw_data[[#This Row],[Last Name]]</f>
        <v>Slater</v>
      </c>
      <c r="C167" s="4" t="str">
        <f>TRIM(cleaned_data[[#This Row],[First Name]]&amp; " "&amp;cleaned_data[[#This Row],[Last Name]])</f>
        <v>Brianna Slater</v>
      </c>
      <c r="D167" s="4" t="str">
        <f>raw_data[[#This Row],[Phone]]</f>
        <v>(224) 934-4957</v>
      </c>
      <c r="E167" s="4" t="str">
        <f>MID(cleaned_data[[#This Row],[Phone]],FIND("(",cleaned_data[[#This Row],[Phone]])+1,3)</f>
        <v>224</v>
      </c>
      <c r="F167" s="4" t="str">
        <f>RIGHT(SUBSTITUTE(cleaned_data[[#This Row],[Phone]],"-",""),7)</f>
        <v>9344957</v>
      </c>
      <c r="G167" s="4" t="str">
        <f>SUBSTITUTE(SUBSTITUTE(SUBSTITUTE(cleaned_data[[#This Row],[Phone]],"(",""),")","")," ","")</f>
        <v>224934-4957</v>
      </c>
      <c r="H167" s="4" t="str">
        <f>raw_data[[#This Row],[Street Address]]</f>
        <v>7700 Blizzard St.</v>
      </c>
      <c r="I167" s="4" t="str">
        <f>TRIM(MID(cleaned_data[[#This Row],[Street Address]],FIND(" ",cleaned_data[[#This Row],[Street Address]])+1,LEN(cleaned_data[[#This Row],[Street Address]])))</f>
        <v>Blizzard St.</v>
      </c>
      <c r="J167" s="15" t="str">
        <f>raw_data[[#This Row],[Zipcode]]</f>
        <v>97002</v>
      </c>
      <c r="K167" s="4" t="str">
        <f>cleaned_data[[#This Row],[Zipcode]]&amp;" - "&amp;cleaned_data[[#This Row],[Street Name]]</f>
        <v>97002 - Blizzard St.</v>
      </c>
      <c r="L167" s="4" t="str">
        <f>LEFT(cleaned_data[[#This Row],[First Name]],3)&amp;LEFT(cleaned_data[[#This Row],[Last Name]],3)&amp;cleaned_data[[#This Row],[Area Code]]</f>
        <v>BriSla224</v>
      </c>
      <c r="M167" s="4" t="str">
        <f>SUBSTITUTE(cleaned_data[[#This Row],[Street Address]],"St.","Street")</f>
        <v>7700 Blizzard Street</v>
      </c>
      <c r="N167" s="4" t="str">
        <f>LEFT(cleaned_data[[#This Row],[Street Address]],FIND(" ",cleaned_data[[#This Row],[Street Address]])-1)</f>
        <v>7700</v>
      </c>
      <c r="O167" s="16">
        <f>raw_data[[#This Row],[Req Date]]</f>
        <v>41686</v>
      </c>
      <c r="P167" s="4">
        <f>YEAR(cleaned_data[[#This Row],[Req Date]])</f>
        <v>2014</v>
      </c>
      <c r="Q167" s="4">
        <f>MONTH(cleaned_data[[#This Row],[Req Date]])</f>
        <v>2</v>
      </c>
      <c r="R167" s="4">
        <f>DAY(cleaned_data[[#This Row],[Req Date]])</f>
        <v>16</v>
      </c>
    </row>
    <row r="168" spans="1:18" ht="15.6" x14ac:dyDescent="0.25">
      <c r="A168" s="4" t="str">
        <f>raw_data[[#This Row],[First Name]]</f>
        <v>Karyn</v>
      </c>
      <c r="B168" s="4" t="str">
        <f>raw_data[[#This Row],[Last Name]]</f>
        <v>Bender</v>
      </c>
      <c r="C168" s="4" t="str">
        <f>TRIM(cleaned_data[[#This Row],[First Name]]&amp; " "&amp;cleaned_data[[#This Row],[Last Name]])</f>
        <v>Karyn Bender</v>
      </c>
      <c r="D168" s="4" t="str">
        <f>raw_data[[#This Row],[Phone]]</f>
        <v>(673) 383-5858</v>
      </c>
      <c r="E168" s="4" t="str">
        <f>MID(cleaned_data[[#This Row],[Phone]],FIND("(",cleaned_data[[#This Row],[Phone]])+1,3)</f>
        <v>673</v>
      </c>
      <c r="F168" s="4" t="str">
        <f>RIGHT(SUBSTITUTE(cleaned_data[[#This Row],[Phone]],"-",""),7)</f>
        <v>3835858</v>
      </c>
      <c r="G168" s="4" t="str">
        <f>SUBSTITUTE(SUBSTITUTE(SUBSTITUTE(cleaned_data[[#This Row],[Phone]],"(",""),")","")," ","")</f>
        <v>673383-5858</v>
      </c>
      <c r="H168" s="4" t="str">
        <f>raw_data[[#This Row],[Street Address]]</f>
        <v>8696 Boulevard Drive</v>
      </c>
      <c r="I168" s="4" t="str">
        <f>TRIM(MID(cleaned_data[[#This Row],[Street Address]],FIND(" ",cleaned_data[[#This Row],[Street Address]])+1,LEN(cleaned_data[[#This Row],[Street Address]])))</f>
        <v>Boulevard Drive</v>
      </c>
      <c r="J168" s="15" t="str">
        <f>raw_data[[#This Row],[Zipcode]]</f>
        <v>97004</v>
      </c>
      <c r="K168" s="4" t="str">
        <f>cleaned_data[[#This Row],[Zipcode]]&amp;" - "&amp;cleaned_data[[#This Row],[Street Name]]</f>
        <v>97004 - Boulevard Drive</v>
      </c>
      <c r="L168" s="4" t="str">
        <f>LEFT(cleaned_data[[#This Row],[First Name]],3)&amp;LEFT(cleaned_data[[#This Row],[Last Name]],3)&amp;cleaned_data[[#This Row],[Area Code]]</f>
        <v>KarBen673</v>
      </c>
      <c r="M168" s="4" t="str">
        <f>SUBSTITUTE(cleaned_data[[#This Row],[Street Address]],"St.","Street")</f>
        <v>8696 Boulevard Drive</v>
      </c>
      <c r="N168" s="4" t="str">
        <f>LEFT(cleaned_data[[#This Row],[Street Address]],FIND(" ",cleaned_data[[#This Row],[Street Address]])-1)</f>
        <v>8696</v>
      </c>
      <c r="O168" s="16">
        <f>raw_data[[#This Row],[Req Date]]</f>
        <v>41685</v>
      </c>
      <c r="P168" s="4">
        <f>YEAR(cleaned_data[[#This Row],[Req Date]])</f>
        <v>2014</v>
      </c>
      <c r="Q168" s="4">
        <f>MONTH(cleaned_data[[#This Row],[Req Date]])</f>
        <v>2</v>
      </c>
      <c r="R168" s="4">
        <f>DAY(cleaned_data[[#This Row],[Req Date]])</f>
        <v>15</v>
      </c>
    </row>
    <row r="169" spans="1:18" ht="15.6" x14ac:dyDescent="0.25">
      <c r="A169" s="4" t="str">
        <f>raw_data[[#This Row],[First Name]]</f>
        <v>Francesca</v>
      </c>
      <c r="B169" s="4" t="str">
        <f>raw_data[[#This Row],[Last Name]]</f>
        <v>Molina</v>
      </c>
      <c r="C169" s="4" t="str">
        <f>TRIM(cleaned_data[[#This Row],[First Name]]&amp; " "&amp;cleaned_data[[#This Row],[Last Name]])</f>
        <v>Francesca Molina</v>
      </c>
      <c r="D169" s="4" t="str">
        <f>raw_data[[#This Row],[Phone]]</f>
        <v>(593) 636-2830</v>
      </c>
      <c r="E169" s="4" t="str">
        <f>MID(cleaned_data[[#This Row],[Phone]],FIND("(",cleaned_data[[#This Row],[Phone]])+1,3)</f>
        <v>593</v>
      </c>
      <c r="F169" s="4" t="str">
        <f>RIGHT(SUBSTITUTE(cleaned_data[[#This Row],[Phone]],"-",""),7)</f>
        <v>6362830</v>
      </c>
      <c r="G169" s="4" t="str">
        <f>SUBSTITUTE(SUBSTITUTE(SUBSTITUTE(cleaned_data[[#This Row],[Phone]],"(",""),")","")," ","")</f>
        <v>593636-2830</v>
      </c>
      <c r="H169" s="4" t="str">
        <f>raw_data[[#This Row],[Street Address]]</f>
        <v>6060 Vestibulum Rd.</v>
      </c>
      <c r="I169" s="4" t="str">
        <f>TRIM(MID(cleaned_data[[#This Row],[Street Address]],FIND(" ",cleaned_data[[#This Row],[Street Address]])+1,LEN(cleaned_data[[#This Row],[Street Address]])))</f>
        <v>Vestibulum Rd.</v>
      </c>
      <c r="J169" s="15" t="str">
        <f>raw_data[[#This Row],[Zipcode]]</f>
        <v>97086</v>
      </c>
      <c r="K169" s="4" t="str">
        <f>cleaned_data[[#This Row],[Zipcode]]&amp;" - "&amp;cleaned_data[[#This Row],[Street Name]]</f>
        <v>97086 - Vestibulum Rd.</v>
      </c>
      <c r="L169" s="4" t="str">
        <f>LEFT(cleaned_data[[#This Row],[First Name]],3)&amp;LEFT(cleaned_data[[#This Row],[Last Name]],3)&amp;cleaned_data[[#This Row],[Area Code]]</f>
        <v>FraMol593</v>
      </c>
      <c r="M169" s="4" t="str">
        <f>SUBSTITUTE(cleaned_data[[#This Row],[Street Address]],"St.","Street")</f>
        <v>6060 Vestibulum Rd.</v>
      </c>
      <c r="N169" s="4" t="str">
        <f>LEFT(cleaned_data[[#This Row],[Street Address]],FIND(" ",cleaned_data[[#This Row],[Street Address]])-1)</f>
        <v>6060</v>
      </c>
      <c r="O169" s="16">
        <f>raw_data[[#This Row],[Req Date]]</f>
        <v>41624</v>
      </c>
      <c r="P169" s="4">
        <f>YEAR(cleaned_data[[#This Row],[Req Date]])</f>
        <v>2013</v>
      </c>
      <c r="Q169" s="4">
        <f>MONTH(cleaned_data[[#This Row],[Req Date]])</f>
        <v>12</v>
      </c>
      <c r="R169" s="4">
        <f>DAY(cleaned_data[[#This Row],[Req Date]])</f>
        <v>16</v>
      </c>
    </row>
    <row r="170" spans="1:18" ht="15.6" x14ac:dyDescent="0.25">
      <c r="A170" s="4" t="str">
        <f>raw_data[[#This Row],[First Name]]</f>
        <v>Quinlan</v>
      </c>
      <c r="B170" s="4" t="str">
        <f>raw_data[[#This Row],[Last Name]]</f>
        <v>Brooks</v>
      </c>
      <c r="C170" s="4" t="str">
        <f>TRIM(cleaned_data[[#This Row],[First Name]]&amp; " "&amp;cleaned_data[[#This Row],[Last Name]])</f>
        <v>Quinlan Brooks</v>
      </c>
      <c r="D170" s="4" t="str">
        <f>raw_data[[#This Row],[Phone]]</f>
        <v>(431) 136-1797</v>
      </c>
      <c r="E170" s="4" t="str">
        <f>MID(cleaned_data[[#This Row],[Phone]],FIND("(",cleaned_data[[#This Row],[Phone]])+1,3)</f>
        <v>431</v>
      </c>
      <c r="F170" s="4" t="str">
        <f>RIGHT(SUBSTITUTE(cleaned_data[[#This Row],[Phone]],"-",""),7)</f>
        <v>1361797</v>
      </c>
      <c r="G170" s="4" t="str">
        <f>SUBSTITUTE(SUBSTITUTE(SUBSTITUTE(cleaned_data[[#This Row],[Phone]],"(",""),")","")," ","")</f>
        <v>431136-1797</v>
      </c>
      <c r="H170" s="4" t="str">
        <f>raw_data[[#This Row],[Street Address]]</f>
        <v xml:space="preserve">9445 Janice Marie Ct. </v>
      </c>
      <c r="I170" s="4" t="str">
        <f>TRIM(MID(cleaned_data[[#This Row],[Street Address]],FIND(" ",cleaned_data[[#This Row],[Street Address]])+1,LEN(cleaned_data[[#This Row],[Street Address]])))</f>
        <v>Janice Marie Ct.</v>
      </c>
      <c r="J170" s="15" t="str">
        <f>raw_data[[#This Row],[Zipcode]]</f>
        <v>97089</v>
      </c>
      <c r="K170" s="4" t="str">
        <f>cleaned_data[[#This Row],[Zipcode]]&amp;" - "&amp;cleaned_data[[#This Row],[Street Name]]</f>
        <v>97089 - Janice Marie Ct.</v>
      </c>
      <c r="L170" s="4" t="str">
        <f>LEFT(cleaned_data[[#This Row],[First Name]],3)&amp;LEFT(cleaned_data[[#This Row],[Last Name]],3)&amp;cleaned_data[[#This Row],[Area Code]]</f>
        <v>QuiBro431</v>
      </c>
      <c r="M170" s="4" t="str">
        <f>SUBSTITUTE(cleaned_data[[#This Row],[Street Address]],"St.","Street")</f>
        <v xml:space="preserve">9445 Janice Marie Ct. </v>
      </c>
      <c r="N170" s="4" t="str">
        <f>LEFT(cleaned_data[[#This Row],[Street Address]],FIND(" ",cleaned_data[[#This Row],[Street Address]])-1)</f>
        <v>9445</v>
      </c>
      <c r="O170" s="16">
        <f>raw_data[[#This Row],[Req Date]]</f>
        <v>41630</v>
      </c>
      <c r="P170" s="4">
        <f>YEAR(cleaned_data[[#This Row],[Req Date]])</f>
        <v>2013</v>
      </c>
      <c r="Q170" s="4">
        <f>MONTH(cleaned_data[[#This Row],[Req Date]])</f>
        <v>12</v>
      </c>
      <c r="R170" s="4">
        <f>DAY(cleaned_data[[#This Row],[Req Date]])</f>
        <v>22</v>
      </c>
    </row>
    <row r="171" spans="1:18" ht="15.6" x14ac:dyDescent="0.25">
      <c r="A171" s="4" t="str">
        <f>raw_data[[#This Row],[First Name]]</f>
        <v>Tyrone</v>
      </c>
      <c r="B171" s="4" t="str">
        <f>raw_data[[#This Row],[Last Name]]</f>
        <v>Erickson</v>
      </c>
      <c r="C171" s="4" t="str">
        <f>TRIM(cleaned_data[[#This Row],[First Name]]&amp; " "&amp;cleaned_data[[#This Row],[Last Name]])</f>
        <v>Tyrone Erickson</v>
      </c>
      <c r="D171" s="4" t="str">
        <f>raw_data[[#This Row],[Phone]]</f>
        <v>(138) 243-3277</v>
      </c>
      <c r="E171" s="4" t="str">
        <f>MID(cleaned_data[[#This Row],[Phone]],FIND("(",cleaned_data[[#This Row],[Phone]])+1,3)</f>
        <v>138</v>
      </c>
      <c r="F171" s="4" t="str">
        <f>RIGHT(SUBSTITUTE(cleaned_data[[#This Row],[Phone]],"-",""),7)</f>
        <v>2433277</v>
      </c>
      <c r="G171" s="4" t="str">
        <f>SUBSTITUTE(SUBSTITUTE(SUBSTITUTE(cleaned_data[[#This Row],[Phone]],"(",""),")","")," ","")</f>
        <v>138243-3277</v>
      </c>
      <c r="H171" s="4" t="str">
        <f>raw_data[[#This Row],[Street Address]]</f>
        <v>P.O. Box 113, 9244 Erat Ave.</v>
      </c>
      <c r="I171" s="4" t="str">
        <f>TRIM(MID(cleaned_data[[#This Row],[Street Address]],FIND(" ",cleaned_data[[#This Row],[Street Address]])+1,LEN(cleaned_data[[#This Row],[Street Address]])))</f>
        <v>Box 113, 9244 Erat Ave.</v>
      </c>
      <c r="J171" s="15" t="str">
        <f>raw_data[[#This Row],[Zipcode]]</f>
        <v>97242</v>
      </c>
      <c r="K171" s="4" t="str">
        <f>cleaned_data[[#This Row],[Zipcode]]&amp;" - "&amp;cleaned_data[[#This Row],[Street Name]]</f>
        <v>97242 - Box 113, 9244 Erat Ave.</v>
      </c>
      <c r="L171" s="4" t="str">
        <f>LEFT(cleaned_data[[#This Row],[First Name]],3)&amp;LEFT(cleaned_data[[#This Row],[Last Name]],3)&amp;cleaned_data[[#This Row],[Area Code]]</f>
        <v>TyrEri138</v>
      </c>
      <c r="M171" s="4" t="str">
        <f>SUBSTITUTE(cleaned_data[[#This Row],[Street Address]],"St.","Street")</f>
        <v>P.O. Box 113, 9244 Erat Ave.</v>
      </c>
      <c r="N171" s="4" t="str">
        <f>LEFT(cleaned_data[[#This Row],[Street Address]],FIND(" ",cleaned_data[[#This Row],[Street Address]])-1)</f>
        <v>P.O.</v>
      </c>
      <c r="O171" s="16">
        <f>raw_data[[#This Row],[Req Date]]</f>
        <v>41681</v>
      </c>
      <c r="P171" s="4">
        <f>YEAR(cleaned_data[[#This Row],[Req Date]])</f>
        <v>2014</v>
      </c>
      <c r="Q171" s="4">
        <f>MONTH(cleaned_data[[#This Row],[Req Date]])</f>
        <v>2</v>
      </c>
      <c r="R171" s="4">
        <f>DAY(cleaned_data[[#This Row],[Req Date]])</f>
        <v>11</v>
      </c>
    </row>
    <row r="172" spans="1:18" ht="15.6" x14ac:dyDescent="0.25">
      <c r="A172" s="4" t="str">
        <f>raw_data[[#This Row],[First Name]]</f>
        <v>Ursula</v>
      </c>
      <c r="B172" s="4" t="str">
        <f>raw_data[[#This Row],[Last Name]]</f>
        <v>Moon</v>
      </c>
      <c r="C172" s="4" t="str">
        <f>TRIM(cleaned_data[[#This Row],[First Name]]&amp; " "&amp;cleaned_data[[#This Row],[Last Name]])</f>
        <v>Ursula Moon</v>
      </c>
      <c r="D172" s="4" t="str">
        <f>raw_data[[#This Row],[Phone]]</f>
        <v>(633) 442-9233</v>
      </c>
      <c r="E172" s="4" t="str">
        <f>MID(cleaned_data[[#This Row],[Phone]],FIND("(",cleaned_data[[#This Row],[Phone]])+1,3)</f>
        <v>633</v>
      </c>
      <c r="F172" s="4" t="str">
        <f>RIGHT(SUBSTITUTE(cleaned_data[[#This Row],[Phone]],"-",""),7)</f>
        <v>4429233</v>
      </c>
      <c r="G172" s="4" t="str">
        <f>SUBSTITUTE(SUBSTITUTE(SUBSTITUTE(cleaned_data[[#This Row],[Phone]],"(",""),")","")," ","")</f>
        <v>633442-9233</v>
      </c>
      <c r="H172" s="4" t="str">
        <f>raw_data[[#This Row],[Street Address]]</f>
        <v>4361 Odio Rd.</v>
      </c>
      <c r="I172" s="4" t="str">
        <f>TRIM(MID(cleaned_data[[#This Row],[Street Address]],FIND(" ",cleaned_data[[#This Row],[Street Address]])+1,LEN(cleaned_data[[#This Row],[Street Address]])))</f>
        <v>Odio Rd.</v>
      </c>
      <c r="J172" s="15" t="str">
        <f>raw_data[[#This Row],[Zipcode]]</f>
        <v>97601</v>
      </c>
      <c r="K172" s="4" t="str">
        <f>cleaned_data[[#This Row],[Zipcode]]&amp;" - "&amp;cleaned_data[[#This Row],[Street Name]]</f>
        <v>97601 - Odio Rd.</v>
      </c>
      <c r="L172" s="4" t="str">
        <f>LEFT(cleaned_data[[#This Row],[First Name]],3)&amp;LEFT(cleaned_data[[#This Row],[Last Name]],3)&amp;cleaned_data[[#This Row],[Area Code]]</f>
        <v>UrsMoo633</v>
      </c>
      <c r="M172" s="4" t="str">
        <f>SUBSTITUTE(cleaned_data[[#This Row],[Street Address]],"St.","Street")</f>
        <v>4361 Odio Rd.</v>
      </c>
      <c r="N172" s="4" t="str">
        <f>LEFT(cleaned_data[[#This Row],[Street Address]],FIND(" ",cleaned_data[[#This Row],[Street Address]])-1)</f>
        <v>4361</v>
      </c>
      <c r="O172" s="16">
        <f>raw_data[[#This Row],[Req Date]]</f>
        <v>41656</v>
      </c>
      <c r="P172" s="4">
        <f>YEAR(cleaned_data[[#This Row],[Req Date]])</f>
        <v>2014</v>
      </c>
      <c r="Q172" s="4">
        <f>MONTH(cleaned_data[[#This Row],[Req Date]])</f>
        <v>1</v>
      </c>
      <c r="R172" s="4">
        <f>DAY(cleaned_data[[#This Row],[Req Date]])</f>
        <v>17</v>
      </c>
    </row>
    <row r="173" spans="1:18" ht="15.6" x14ac:dyDescent="0.25">
      <c r="A173" s="4" t="str">
        <f>raw_data[[#This Row],[First Name]]</f>
        <v>Aquila</v>
      </c>
      <c r="B173" s="4" t="str">
        <f>raw_data[[#This Row],[Last Name]]</f>
        <v>Castro</v>
      </c>
      <c r="C173" s="4" t="str">
        <f>TRIM(cleaned_data[[#This Row],[First Name]]&amp; " "&amp;cleaned_data[[#This Row],[Last Name]])</f>
        <v>Aquila Castro</v>
      </c>
      <c r="D173" s="4" t="str">
        <f>raw_data[[#This Row],[Phone]]</f>
        <v>(833) 575-4161</v>
      </c>
      <c r="E173" s="4" t="str">
        <f>MID(cleaned_data[[#This Row],[Phone]],FIND("(",cleaned_data[[#This Row],[Phone]])+1,3)</f>
        <v>833</v>
      </c>
      <c r="F173" s="4" t="str">
        <f>RIGHT(SUBSTITUTE(cleaned_data[[#This Row],[Phone]],"-",""),7)</f>
        <v>5754161</v>
      </c>
      <c r="G173" s="4" t="str">
        <f>SUBSTITUTE(SUBSTITUTE(SUBSTITUTE(cleaned_data[[#This Row],[Phone]],"(",""),")","")," ","")</f>
        <v>833575-4161</v>
      </c>
      <c r="H173" s="4" t="str">
        <f>raw_data[[#This Row],[Street Address]]</f>
        <v xml:space="preserve">3412 S. Washington Ave. </v>
      </c>
      <c r="I173" s="4" t="str">
        <f>TRIM(MID(cleaned_data[[#This Row],[Street Address]],FIND(" ",cleaned_data[[#This Row],[Street Address]])+1,LEN(cleaned_data[[#This Row],[Street Address]])))</f>
        <v>S. Washington Ave.</v>
      </c>
      <c r="J173" s="15" t="str">
        <f>raw_data[[#This Row],[Zipcode]]</f>
        <v>98051</v>
      </c>
      <c r="K173" s="4" t="str">
        <f>cleaned_data[[#This Row],[Zipcode]]&amp;" - "&amp;cleaned_data[[#This Row],[Street Name]]</f>
        <v>98051 - S. Washington Ave.</v>
      </c>
      <c r="L173" s="4" t="str">
        <f>LEFT(cleaned_data[[#This Row],[First Name]],3)&amp;LEFT(cleaned_data[[#This Row],[Last Name]],3)&amp;cleaned_data[[#This Row],[Area Code]]</f>
        <v>AquCas833</v>
      </c>
      <c r="M173" s="4" t="str">
        <f>SUBSTITUTE(cleaned_data[[#This Row],[Street Address]],"St.","Street")</f>
        <v xml:space="preserve">3412 S. Washington Ave. </v>
      </c>
      <c r="N173" s="4" t="str">
        <f>LEFT(cleaned_data[[#This Row],[Street Address]],FIND(" ",cleaned_data[[#This Row],[Street Address]])-1)</f>
        <v>3412</v>
      </c>
      <c r="O173" s="16">
        <f>raw_data[[#This Row],[Req Date]]</f>
        <v>41668</v>
      </c>
      <c r="P173" s="4">
        <f>YEAR(cleaned_data[[#This Row],[Req Date]])</f>
        <v>2014</v>
      </c>
      <c r="Q173" s="4">
        <f>MONTH(cleaned_data[[#This Row],[Req Date]])</f>
        <v>1</v>
      </c>
      <c r="R173" s="4">
        <f>DAY(cleaned_data[[#This Row],[Req Date]])</f>
        <v>29</v>
      </c>
    </row>
    <row r="174" spans="1:18" ht="15.6" x14ac:dyDescent="0.25">
      <c r="A174" s="4" t="str">
        <f>raw_data[[#This Row],[First Name]]</f>
        <v>Damon</v>
      </c>
      <c r="B174" s="4" t="str">
        <f>raw_data[[#This Row],[Last Name]]</f>
        <v>Palmer</v>
      </c>
      <c r="C174" s="4" t="str">
        <f>TRIM(cleaned_data[[#This Row],[First Name]]&amp; " "&amp;cleaned_data[[#This Row],[Last Name]])</f>
        <v>Damon Palmer</v>
      </c>
      <c r="D174" s="4" t="str">
        <f>raw_data[[#This Row],[Phone]]</f>
        <v>(168) 717-2566</v>
      </c>
      <c r="E174" s="4" t="str">
        <f>MID(cleaned_data[[#This Row],[Phone]],FIND("(",cleaned_data[[#This Row],[Phone]])+1,3)</f>
        <v>168</v>
      </c>
      <c r="F174" s="4" t="str">
        <f>RIGHT(SUBSTITUTE(cleaned_data[[#This Row],[Phone]],"-",""),7)</f>
        <v>7172566</v>
      </c>
      <c r="G174" s="4" t="str">
        <f>SUBSTITUTE(SUBSTITUTE(SUBSTITUTE(cleaned_data[[#This Row],[Phone]],"(",""),")","")," ","")</f>
        <v>168717-2566</v>
      </c>
      <c r="H174" s="4" t="str">
        <f>raw_data[[#This Row],[Street Address]]</f>
        <v>563-5184 Hendrerit St.</v>
      </c>
      <c r="I174" s="4" t="str">
        <f>TRIM(MID(cleaned_data[[#This Row],[Street Address]],FIND(" ",cleaned_data[[#This Row],[Street Address]])+1,LEN(cleaned_data[[#This Row],[Street Address]])))</f>
        <v>Hendrerit St.</v>
      </c>
      <c r="J174" s="15" t="str">
        <f>raw_data[[#This Row],[Zipcode]]</f>
        <v>98052</v>
      </c>
      <c r="K174" s="4" t="str">
        <f>cleaned_data[[#This Row],[Zipcode]]&amp;" - "&amp;cleaned_data[[#This Row],[Street Name]]</f>
        <v>98052 - Hendrerit St.</v>
      </c>
      <c r="L174" s="4" t="str">
        <f>LEFT(cleaned_data[[#This Row],[First Name]],3)&amp;LEFT(cleaned_data[[#This Row],[Last Name]],3)&amp;cleaned_data[[#This Row],[Area Code]]</f>
        <v>DamPal168</v>
      </c>
      <c r="M174" s="4" t="str">
        <f>SUBSTITUTE(cleaned_data[[#This Row],[Street Address]],"St.","Street")</f>
        <v>563-5184 Hendrerit Street</v>
      </c>
      <c r="N174" s="4" t="str">
        <f>LEFT(cleaned_data[[#This Row],[Street Address]],FIND(" ",cleaned_data[[#This Row],[Street Address]])-1)</f>
        <v>563-5184</v>
      </c>
      <c r="O174" s="16">
        <f>raw_data[[#This Row],[Req Date]]</f>
        <v>41666</v>
      </c>
      <c r="P174" s="4">
        <f>YEAR(cleaned_data[[#This Row],[Req Date]])</f>
        <v>2014</v>
      </c>
      <c r="Q174" s="4">
        <f>MONTH(cleaned_data[[#This Row],[Req Date]])</f>
        <v>1</v>
      </c>
      <c r="R174" s="4">
        <f>DAY(cleaned_data[[#This Row],[Req Date]])</f>
        <v>27</v>
      </c>
    </row>
    <row r="175" spans="1:18" ht="15.6" x14ac:dyDescent="0.25">
      <c r="A175" s="4" t="str">
        <f>raw_data[[#This Row],[First Name]]</f>
        <v>Charde</v>
      </c>
      <c r="B175" s="4" t="str">
        <f>raw_data[[#This Row],[Last Name]]</f>
        <v>Mills</v>
      </c>
      <c r="C175" s="4" t="str">
        <f>TRIM(cleaned_data[[#This Row],[First Name]]&amp; " "&amp;cleaned_data[[#This Row],[Last Name]])</f>
        <v>Charde Mills</v>
      </c>
      <c r="D175" s="4" t="str">
        <f>raw_data[[#This Row],[Phone]]</f>
        <v>(532) 464-9456</v>
      </c>
      <c r="E175" s="4" t="str">
        <f>MID(cleaned_data[[#This Row],[Phone]],FIND("(",cleaned_data[[#This Row],[Phone]])+1,3)</f>
        <v>532</v>
      </c>
      <c r="F175" s="4" t="str">
        <f>RIGHT(SUBSTITUTE(cleaned_data[[#This Row],[Phone]],"-",""),7)</f>
        <v>4649456</v>
      </c>
      <c r="G175" s="4" t="str">
        <f>SUBSTITUTE(SUBSTITUTE(SUBSTITUTE(cleaned_data[[#This Row],[Phone]],"(",""),")","")," ","")</f>
        <v>532464-9456</v>
      </c>
      <c r="H175" s="4" t="str">
        <f>raw_data[[#This Row],[Street Address]]</f>
        <v>1165 Facilisis Street</v>
      </c>
      <c r="I175" s="4" t="str">
        <f>TRIM(MID(cleaned_data[[#This Row],[Street Address]],FIND(" ",cleaned_data[[#This Row],[Street Address]])+1,LEN(cleaned_data[[#This Row],[Street Address]])))</f>
        <v>Facilisis Street</v>
      </c>
      <c r="J175" s="15" t="str">
        <f>raw_data[[#This Row],[Zipcode]]</f>
        <v>98068</v>
      </c>
      <c r="K175" s="4" t="str">
        <f>cleaned_data[[#This Row],[Zipcode]]&amp;" - "&amp;cleaned_data[[#This Row],[Street Name]]</f>
        <v>98068 - Facilisis Street</v>
      </c>
      <c r="L175" s="4" t="str">
        <f>LEFT(cleaned_data[[#This Row],[First Name]],3)&amp;LEFT(cleaned_data[[#This Row],[Last Name]],3)&amp;cleaned_data[[#This Row],[Area Code]]</f>
        <v>ChaMil532</v>
      </c>
      <c r="M175" s="4" t="str">
        <f>SUBSTITUTE(cleaned_data[[#This Row],[Street Address]],"St.","Street")</f>
        <v>1165 Facilisis Street</v>
      </c>
      <c r="N175" s="4" t="str">
        <f>LEFT(cleaned_data[[#This Row],[Street Address]],FIND(" ",cleaned_data[[#This Row],[Street Address]])-1)</f>
        <v>1165</v>
      </c>
      <c r="O175" s="16">
        <f>raw_data[[#This Row],[Req Date]]</f>
        <v>41665</v>
      </c>
      <c r="P175" s="4">
        <f>YEAR(cleaned_data[[#This Row],[Req Date]])</f>
        <v>2014</v>
      </c>
      <c r="Q175" s="4">
        <f>MONTH(cleaned_data[[#This Row],[Req Date]])</f>
        <v>1</v>
      </c>
      <c r="R175" s="4">
        <f>DAY(cleaned_data[[#This Row],[Req Date]])</f>
        <v>26</v>
      </c>
    </row>
    <row r="176" spans="1:18" ht="15.6" x14ac:dyDescent="0.25">
      <c r="A176" s="4" t="str">
        <f>raw_data[[#This Row],[First Name]]</f>
        <v>Hilel</v>
      </c>
      <c r="B176" s="4" t="str">
        <f>raw_data[[#This Row],[Last Name]]</f>
        <v>Pearson</v>
      </c>
      <c r="C176" s="4" t="str">
        <f>TRIM(cleaned_data[[#This Row],[First Name]]&amp; " "&amp;cleaned_data[[#This Row],[Last Name]])</f>
        <v>Hilel Pearson</v>
      </c>
      <c r="D176" s="4" t="str">
        <f>raw_data[[#This Row],[Phone]]</f>
        <v>(320) 933-0485</v>
      </c>
      <c r="E176" s="4" t="str">
        <f>MID(cleaned_data[[#This Row],[Phone]],FIND("(",cleaned_data[[#This Row],[Phone]])+1,3)</f>
        <v>320</v>
      </c>
      <c r="F176" s="4" t="str">
        <f>RIGHT(SUBSTITUTE(cleaned_data[[#This Row],[Phone]],"-",""),7)</f>
        <v>9330485</v>
      </c>
      <c r="G176" s="4" t="str">
        <f>SUBSTITUTE(SUBSTITUTE(SUBSTITUTE(cleaned_data[[#This Row],[Phone]],"(",""),")","")," ","")</f>
        <v>320933-0485</v>
      </c>
      <c r="H176" s="4" t="str">
        <f>raw_data[[#This Row],[Street Address]]</f>
        <v>5261 Habitant St.</v>
      </c>
      <c r="I176" s="4" t="str">
        <f>TRIM(MID(cleaned_data[[#This Row],[Street Address]],FIND(" ",cleaned_data[[#This Row],[Street Address]])+1,LEN(cleaned_data[[#This Row],[Street Address]])))</f>
        <v>Habitant St.</v>
      </c>
      <c r="J176" s="15" t="str">
        <f>raw_data[[#This Row],[Zipcode]]</f>
        <v>99026</v>
      </c>
      <c r="K176" s="4" t="str">
        <f>cleaned_data[[#This Row],[Zipcode]]&amp;" - "&amp;cleaned_data[[#This Row],[Street Name]]</f>
        <v>99026 - Habitant St.</v>
      </c>
      <c r="L176" s="4" t="str">
        <f>LEFT(cleaned_data[[#This Row],[First Name]],3)&amp;LEFT(cleaned_data[[#This Row],[Last Name]],3)&amp;cleaned_data[[#This Row],[Area Code]]</f>
        <v>HilPea320</v>
      </c>
      <c r="M176" s="4" t="str">
        <f>SUBSTITUTE(cleaned_data[[#This Row],[Street Address]],"St.","Street")</f>
        <v>5261 Habitant Street</v>
      </c>
      <c r="N176" s="4" t="str">
        <f>LEFT(cleaned_data[[#This Row],[Street Address]],FIND(" ",cleaned_data[[#This Row],[Street Address]])-1)</f>
        <v>5261</v>
      </c>
      <c r="O176" s="16">
        <f>raw_data[[#This Row],[Req Date]]</f>
        <v>41608</v>
      </c>
      <c r="P176" s="4">
        <f>YEAR(cleaned_data[[#This Row],[Req Date]])</f>
        <v>2013</v>
      </c>
      <c r="Q176" s="4">
        <f>MONTH(cleaned_data[[#This Row],[Req Date]])</f>
        <v>11</v>
      </c>
      <c r="R176" s="4">
        <f>DAY(cleaned_data[[#This Row],[Req Date]])</f>
        <v>30</v>
      </c>
    </row>
    <row r="177" spans="1:18" ht="15.6" x14ac:dyDescent="0.25">
      <c r="A177" s="4" t="str">
        <f>raw_data[[#This Row],[First Name]]</f>
        <v>Uma</v>
      </c>
      <c r="B177" s="4" t="str">
        <f>raw_data[[#This Row],[Last Name]]</f>
        <v>Walsh</v>
      </c>
      <c r="C177" s="4" t="str">
        <f>TRIM(cleaned_data[[#This Row],[First Name]]&amp; " "&amp;cleaned_data[[#This Row],[Last Name]])</f>
        <v>Uma Walsh</v>
      </c>
      <c r="D177" s="4" t="str">
        <f>raw_data[[#This Row],[Phone]]</f>
        <v>(408) 122-8801</v>
      </c>
      <c r="E177" s="4" t="str">
        <f>MID(cleaned_data[[#This Row],[Phone]],FIND("(",cleaned_data[[#This Row],[Phone]])+1,3)</f>
        <v>408</v>
      </c>
      <c r="F177" s="4" t="str">
        <f>RIGHT(SUBSTITUTE(cleaned_data[[#This Row],[Phone]],"-",""),7)</f>
        <v>1228801</v>
      </c>
      <c r="G177" s="4" t="str">
        <f>SUBSTITUTE(SUBSTITUTE(SUBSTITUTE(cleaned_data[[#This Row],[Phone]],"(",""),")","")," ","")</f>
        <v>408122-8801</v>
      </c>
      <c r="H177" s="4" t="str">
        <f>raw_data[[#This Row],[Street Address]]</f>
        <v>4624 Lincoln Drive</v>
      </c>
      <c r="I177" s="4" t="str">
        <f>TRIM(MID(cleaned_data[[#This Row],[Street Address]],FIND(" ",cleaned_data[[#This Row],[Street Address]])+1,LEN(cleaned_data[[#This Row],[Street Address]])))</f>
        <v>Lincoln Drive</v>
      </c>
      <c r="J177" s="15" t="str">
        <f>raw_data[[#This Row],[Zipcode]]</f>
        <v>99256</v>
      </c>
      <c r="K177" s="4" t="str">
        <f>cleaned_data[[#This Row],[Zipcode]]&amp;" - "&amp;cleaned_data[[#This Row],[Street Name]]</f>
        <v>99256 - Lincoln Drive</v>
      </c>
      <c r="L177" s="4" t="str">
        <f>LEFT(cleaned_data[[#This Row],[First Name]],3)&amp;LEFT(cleaned_data[[#This Row],[Last Name]],3)&amp;cleaned_data[[#This Row],[Area Code]]</f>
        <v>UmaWal408</v>
      </c>
      <c r="M177" s="4" t="str">
        <f>SUBSTITUTE(cleaned_data[[#This Row],[Street Address]],"St.","Street")</f>
        <v>4624 Lincoln Drive</v>
      </c>
      <c r="N177" s="4" t="str">
        <f>LEFT(cleaned_data[[#This Row],[Street Address]],FIND(" ",cleaned_data[[#This Row],[Street Address]])-1)</f>
        <v>4624</v>
      </c>
      <c r="O177" s="16">
        <f>raw_data[[#This Row],[Req Date]]</f>
        <v>41688</v>
      </c>
      <c r="P177" s="4">
        <f>YEAR(cleaned_data[[#This Row],[Req Date]])</f>
        <v>2014</v>
      </c>
      <c r="Q177" s="4">
        <f>MONTH(cleaned_data[[#This Row],[Req Date]])</f>
        <v>2</v>
      </c>
      <c r="R177" s="4">
        <f>DAY(cleaned_data[[#This Row],[Req Date]])</f>
        <v>18</v>
      </c>
    </row>
    <row r="178" spans="1:18" ht="15.6" x14ac:dyDescent="0.25">
      <c r="A178" s="4" t="str">
        <f>raw_data[[#This Row],[First Name]]</f>
        <v>Vanna</v>
      </c>
      <c r="B178" s="4" t="str">
        <f>raw_data[[#This Row],[Last Name]]</f>
        <v>Gilliam</v>
      </c>
      <c r="C178" s="4" t="str">
        <f>TRIM(cleaned_data[[#This Row],[First Name]]&amp; " "&amp;cleaned_data[[#This Row],[Last Name]])</f>
        <v>Vanna Gilliam</v>
      </c>
      <c r="D178" s="4" t="str">
        <f>raw_data[[#This Row],[Phone]]</f>
        <v>(242) 404-8588</v>
      </c>
      <c r="E178" s="4" t="str">
        <f>MID(cleaned_data[[#This Row],[Phone]],FIND("(",cleaned_data[[#This Row],[Phone]])+1,3)</f>
        <v>242</v>
      </c>
      <c r="F178" s="4" t="str">
        <f>RIGHT(SUBSTITUTE(cleaned_data[[#This Row],[Phone]],"-",""),7)</f>
        <v>4048588</v>
      </c>
      <c r="G178" s="4" t="str">
        <f>SUBSTITUTE(SUBSTITUTE(SUBSTITUTE(cleaned_data[[#This Row],[Phone]],"(",""),")","")," ","")</f>
        <v>242404-8588</v>
      </c>
      <c r="H178" s="4" t="str">
        <f>raw_data[[#This Row],[Street Address]]</f>
        <v xml:space="preserve">7776 Caesar St. </v>
      </c>
      <c r="I178" s="4" t="str">
        <f>TRIM(MID(cleaned_data[[#This Row],[Street Address]],FIND(" ",cleaned_data[[#This Row],[Street Address]])+1,LEN(cleaned_data[[#This Row],[Street Address]])))</f>
        <v>Caesar St.</v>
      </c>
      <c r="J178" s="15" t="str">
        <f>raw_data[[#This Row],[Zipcode]]</f>
        <v>99790</v>
      </c>
      <c r="K178" s="4" t="str">
        <f>cleaned_data[[#This Row],[Zipcode]]&amp;" - "&amp;cleaned_data[[#This Row],[Street Name]]</f>
        <v>99790 - Caesar St.</v>
      </c>
      <c r="L178" s="4" t="str">
        <f>LEFT(cleaned_data[[#This Row],[First Name]],3)&amp;LEFT(cleaned_data[[#This Row],[Last Name]],3)&amp;cleaned_data[[#This Row],[Area Code]]</f>
        <v>VanGil242</v>
      </c>
      <c r="M178" s="4" t="str">
        <f>SUBSTITUTE(cleaned_data[[#This Row],[Street Address]],"St.","Street")</f>
        <v xml:space="preserve">7776 Caesar Street </v>
      </c>
      <c r="N178" s="4" t="str">
        <f>LEFT(cleaned_data[[#This Row],[Street Address]],FIND(" ",cleaned_data[[#This Row],[Street Address]])-1)</f>
        <v>7776</v>
      </c>
      <c r="O178" s="16">
        <f>raw_data[[#This Row],[Req Date]]</f>
        <v>41609</v>
      </c>
      <c r="P178" s="4">
        <f>YEAR(cleaned_data[[#This Row],[Req Date]])</f>
        <v>2013</v>
      </c>
      <c r="Q178" s="4">
        <f>MONTH(cleaned_data[[#This Row],[Req Date]])</f>
        <v>12</v>
      </c>
      <c r="R178" s="4">
        <f>DAY(cleaned_data[[#This Row],[Req Date]])</f>
        <v>1</v>
      </c>
    </row>
    <row r="179" spans="1:18" ht="15.6" x14ac:dyDescent="0.25">
      <c r="A179" s="4" t="str">
        <f>raw_data[[#This Row],[First Name]]</f>
        <v>Madeline</v>
      </c>
      <c r="B179" s="4" t="str">
        <f>raw_data[[#This Row],[Last Name]]</f>
        <v>Trujillo</v>
      </c>
      <c r="C179" s="4" t="str">
        <f>TRIM(cleaned_data[[#This Row],[First Name]]&amp; " "&amp;cleaned_data[[#This Row],[Last Name]])</f>
        <v>Madeline Trujillo</v>
      </c>
      <c r="D179" s="4" t="str">
        <f>raw_data[[#This Row],[Phone]]</f>
        <v>(145) 620-1526</v>
      </c>
      <c r="E179" s="4" t="str">
        <f>MID(cleaned_data[[#This Row],[Phone]],FIND("(",cleaned_data[[#This Row],[Phone]])+1,3)</f>
        <v>145</v>
      </c>
      <c r="F179" s="4" t="str">
        <f>RIGHT(SUBSTITUTE(cleaned_data[[#This Row],[Phone]],"-",""),7)</f>
        <v>6201526</v>
      </c>
      <c r="G179" s="4" t="str">
        <f>SUBSTITUTE(SUBSTITUTE(SUBSTITUTE(cleaned_data[[#This Row],[Phone]],"(",""),")","")," ","")</f>
        <v>145620-1526</v>
      </c>
      <c r="H179" s="4" t="str">
        <f>raw_data[[#This Row],[Street Address]]</f>
        <v xml:space="preserve">4295 Martin Luther King Blvd. </v>
      </c>
      <c r="I179" s="4" t="str">
        <f>TRIM(MID(cleaned_data[[#This Row],[Street Address]],FIND(" ",cleaned_data[[#This Row],[Street Address]])+1,LEN(cleaned_data[[#This Row],[Street Address]])))</f>
        <v>Martin Luther King Blvd.</v>
      </c>
      <c r="J179" s="15" t="str">
        <f>raw_data[[#This Row],[Zipcode]]</f>
        <v>99791</v>
      </c>
      <c r="K179" s="4" t="str">
        <f>cleaned_data[[#This Row],[Zipcode]]&amp;" - "&amp;cleaned_data[[#This Row],[Street Name]]</f>
        <v>99791 - Martin Luther King Blvd.</v>
      </c>
      <c r="L179" s="4" t="str">
        <f>LEFT(cleaned_data[[#This Row],[First Name]],3)&amp;LEFT(cleaned_data[[#This Row],[Last Name]],3)&amp;cleaned_data[[#This Row],[Area Code]]</f>
        <v>MadTru145</v>
      </c>
      <c r="M179" s="4" t="str">
        <f>SUBSTITUTE(cleaned_data[[#This Row],[Street Address]],"St.","Street")</f>
        <v xml:space="preserve">4295 Martin Luther King Blvd. </v>
      </c>
      <c r="N179" s="4" t="str">
        <f>LEFT(cleaned_data[[#This Row],[Street Address]],FIND(" ",cleaned_data[[#This Row],[Street Address]])-1)</f>
        <v>4295</v>
      </c>
      <c r="O179" s="16">
        <f>raw_data[[#This Row],[Req Date]]</f>
        <v>41621</v>
      </c>
      <c r="P179" s="4">
        <f>YEAR(cleaned_data[[#This Row],[Req Date]])</f>
        <v>2013</v>
      </c>
      <c r="Q179" s="4">
        <f>MONTH(cleaned_data[[#This Row],[Req Date]])</f>
        <v>12</v>
      </c>
      <c r="R179" s="4">
        <f>DAY(cleaned_data[[#This Row],[Req Date]])</f>
        <v>13</v>
      </c>
    </row>
    <row r="180" spans="1:18" ht="15.6" x14ac:dyDescent="0.25">
      <c r="A180" s="4" t="str">
        <f>raw_data[[#This Row],[First Name]]</f>
        <v>Blaze</v>
      </c>
      <c r="B180" s="4" t="str">
        <f>raw_data[[#This Row],[Last Name]]</f>
        <v>Flores</v>
      </c>
      <c r="C180" s="4" t="str">
        <f>TRIM(cleaned_data[[#This Row],[First Name]]&amp; " "&amp;cleaned_data[[#This Row],[Last Name]])</f>
        <v>Blaze Flores</v>
      </c>
      <c r="D180" s="4" t="str">
        <f>raw_data[[#This Row],[Phone]]</f>
        <v>(467) 546-0764</v>
      </c>
      <c r="E180" s="4" t="str">
        <f>MID(cleaned_data[[#This Row],[Phone]],FIND("(",cleaned_data[[#This Row],[Phone]])+1,3)</f>
        <v>467</v>
      </c>
      <c r="F180" s="4" t="str">
        <f>RIGHT(SUBSTITUTE(cleaned_data[[#This Row],[Phone]],"-",""),7)</f>
        <v>5460764</v>
      </c>
      <c r="G180" s="4" t="str">
        <f>SUBSTITUTE(SUBSTITUTE(SUBSTITUTE(cleaned_data[[#This Row],[Phone]],"(",""),")","")," ","")</f>
        <v>467546-0764</v>
      </c>
      <c r="H180" s="4" t="str">
        <f>raw_data[[#This Row],[Street Address]]</f>
        <v>4802 Sarah Street</v>
      </c>
      <c r="I180" s="4" t="str">
        <f>TRIM(MID(cleaned_data[[#This Row],[Street Address]],FIND(" ",cleaned_data[[#This Row],[Street Address]])+1,LEN(cleaned_data[[#This Row],[Street Address]])))</f>
        <v>Sarah Street</v>
      </c>
      <c r="J180" s="15" t="str">
        <f>raw_data[[#This Row],[Zipcode]]</f>
        <v>99801</v>
      </c>
      <c r="K180" s="4" t="str">
        <f>cleaned_data[[#This Row],[Zipcode]]&amp;" - "&amp;cleaned_data[[#This Row],[Street Name]]</f>
        <v>99801 - Sarah Street</v>
      </c>
      <c r="L180" s="4" t="str">
        <f>LEFT(cleaned_data[[#This Row],[First Name]],3)&amp;LEFT(cleaned_data[[#This Row],[Last Name]],3)&amp;cleaned_data[[#This Row],[Area Code]]</f>
        <v>BlaFlo467</v>
      </c>
      <c r="M180" s="4" t="str">
        <f>SUBSTITUTE(cleaned_data[[#This Row],[Street Address]],"St.","Street")</f>
        <v>4802 Sarah Street</v>
      </c>
      <c r="N180" s="4" t="str">
        <f>LEFT(cleaned_data[[#This Row],[Street Address]],FIND(" ",cleaned_data[[#This Row],[Street Address]])-1)</f>
        <v>4802</v>
      </c>
      <c r="O180" s="16">
        <f>raw_data[[#This Row],[Req Date]]</f>
        <v>41634</v>
      </c>
      <c r="P180" s="4">
        <f>YEAR(cleaned_data[[#This Row],[Req Date]])</f>
        <v>2013</v>
      </c>
      <c r="Q180" s="4">
        <f>MONTH(cleaned_data[[#This Row],[Req Date]])</f>
        <v>12</v>
      </c>
      <c r="R180" s="4">
        <f>DAY(cleaned_data[[#This Row],[Req Date]])</f>
        <v>26</v>
      </c>
    </row>
    <row r="181" spans="1:18" ht="15.6" x14ac:dyDescent="0.25">
      <c r="A181" s="4" t="str">
        <f>raw_data[[#This Row],[First Name]]</f>
        <v>Lacy</v>
      </c>
      <c r="B181" s="4" t="str">
        <f>raw_data[[#This Row],[Last Name]]</f>
        <v>Bright</v>
      </c>
      <c r="C181" s="4" t="str">
        <f>TRIM(cleaned_data[[#This Row],[First Name]]&amp; " "&amp;cleaned_data[[#This Row],[Last Name]])</f>
        <v>Lacy Bright</v>
      </c>
      <c r="D181" s="4" t="str">
        <f>raw_data[[#This Row],[Phone]]</f>
        <v>(138) 532-6263</v>
      </c>
      <c r="E181" s="4" t="str">
        <f>MID(cleaned_data[[#This Row],[Phone]],FIND("(",cleaned_data[[#This Row],[Phone]])+1,3)</f>
        <v>138</v>
      </c>
      <c r="F181" s="4" t="str">
        <f>RIGHT(SUBSTITUTE(cleaned_data[[#This Row],[Phone]],"-",""),7)</f>
        <v>5326263</v>
      </c>
      <c r="G181" s="4" t="str">
        <f>SUBSTITUTE(SUBSTITUTE(SUBSTITUTE(cleaned_data[[#This Row],[Phone]],"(",""),")","")," ","")</f>
        <v>138532-6263</v>
      </c>
      <c r="H181" s="4" t="str">
        <f>raw_data[[#This Row],[Street Address]]</f>
        <v>6063 Janus Way</v>
      </c>
      <c r="I181" s="4" t="str">
        <f>TRIM(MID(cleaned_data[[#This Row],[Street Address]],FIND(" ",cleaned_data[[#This Row],[Street Address]])+1,LEN(cleaned_data[[#This Row],[Street Address]])))</f>
        <v>Janus Way</v>
      </c>
      <c r="J181" s="15" t="str">
        <f>raw_data[[#This Row],[Zipcode]]</f>
        <v>00623</v>
      </c>
      <c r="K181" s="4" t="str">
        <f>cleaned_data[[#This Row],[Zipcode]]&amp;" - "&amp;cleaned_data[[#This Row],[Street Name]]</f>
        <v>00623 - Janus Way</v>
      </c>
      <c r="L181" s="4" t="str">
        <f>LEFT(cleaned_data[[#This Row],[First Name]],3)&amp;LEFT(cleaned_data[[#This Row],[Last Name]],3)&amp;cleaned_data[[#This Row],[Area Code]]</f>
        <v>LacBri138</v>
      </c>
      <c r="M181" s="4" t="str">
        <f>SUBSTITUTE(cleaned_data[[#This Row],[Street Address]],"St.","Street")</f>
        <v>6063 Janus Way</v>
      </c>
      <c r="N181" s="4" t="str">
        <f>LEFT(cleaned_data[[#This Row],[Street Address]],FIND(" ",cleaned_data[[#This Row],[Street Address]])-1)</f>
        <v>6063</v>
      </c>
      <c r="O181" s="16">
        <f>raw_data[[#This Row],[Req Date]]</f>
        <v>41648</v>
      </c>
      <c r="P181" s="4">
        <f>YEAR(cleaned_data[[#This Row],[Req Date]])</f>
        <v>2014</v>
      </c>
      <c r="Q181" s="4">
        <f>MONTH(cleaned_data[[#This Row],[Req Date]])</f>
        <v>1</v>
      </c>
      <c r="R181" s="4">
        <f>DAY(cleaned_data[[#This Row],[Req Date]])</f>
        <v>9</v>
      </c>
    </row>
    <row r="182" spans="1:18" ht="15.6" x14ac:dyDescent="0.25">
      <c r="A182" s="4" t="str">
        <f>raw_data[[#This Row],[First Name]]</f>
        <v>Jin</v>
      </c>
      <c r="B182" s="4" t="str">
        <f>raw_data[[#This Row],[Last Name]]</f>
        <v>Fields</v>
      </c>
      <c r="C182" s="4" t="str">
        <f>TRIM(cleaned_data[[#This Row],[First Name]]&amp; " "&amp;cleaned_data[[#This Row],[Last Name]])</f>
        <v>Jin Fields</v>
      </c>
      <c r="D182" s="4" t="str">
        <f>raw_data[[#This Row],[Phone]]</f>
        <v>(156) 258-9739</v>
      </c>
      <c r="E182" s="4" t="str">
        <f>MID(cleaned_data[[#This Row],[Phone]],FIND("(",cleaned_data[[#This Row],[Phone]])+1,3)</f>
        <v>156</v>
      </c>
      <c r="F182" s="4" t="str">
        <f>RIGHT(SUBSTITUTE(cleaned_data[[#This Row],[Phone]],"-",""),7)</f>
        <v>2589739</v>
      </c>
      <c r="G182" s="4" t="str">
        <f>SUBSTITUTE(SUBSTITUTE(SUBSTITUTE(cleaned_data[[#This Row],[Phone]],"(",""),")","")," ","")</f>
        <v>156258-9739</v>
      </c>
      <c r="H182" s="4" t="str">
        <f>raw_data[[#This Row],[Street Address]]</f>
        <v xml:space="preserve">5468 Theodore Parker Blvd. </v>
      </c>
      <c r="I182" s="4" t="str">
        <f>TRIM(MID(cleaned_data[[#This Row],[Street Address]],FIND(" ",cleaned_data[[#This Row],[Street Address]])+1,LEN(cleaned_data[[#This Row],[Street Address]])))</f>
        <v>Theodore Parker Blvd.</v>
      </c>
      <c r="J182" s="15" t="str">
        <f>raw_data[[#This Row],[Zipcode]]</f>
        <v>20006</v>
      </c>
      <c r="K182" s="4" t="str">
        <f>cleaned_data[[#This Row],[Zipcode]]&amp;" - "&amp;cleaned_data[[#This Row],[Street Name]]</f>
        <v>20006 - Theodore Parker Blvd.</v>
      </c>
      <c r="L182" s="4" t="str">
        <f>LEFT(cleaned_data[[#This Row],[First Name]],3)&amp;LEFT(cleaned_data[[#This Row],[Last Name]],3)&amp;cleaned_data[[#This Row],[Area Code]]</f>
        <v>JinFie156</v>
      </c>
      <c r="M182" s="4" t="str">
        <f>SUBSTITUTE(cleaned_data[[#This Row],[Street Address]],"St.","Street")</f>
        <v xml:space="preserve">5468 Theodore Parker Blvd. </v>
      </c>
      <c r="N182" s="4" t="str">
        <f>LEFT(cleaned_data[[#This Row],[Street Address]],FIND(" ",cleaned_data[[#This Row],[Street Address]])-1)</f>
        <v>5468</v>
      </c>
      <c r="O182" s="16">
        <f>raw_data[[#This Row],[Req Date]]</f>
        <v>41613</v>
      </c>
      <c r="P182" s="4">
        <f>YEAR(cleaned_data[[#This Row],[Req Date]])</f>
        <v>2013</v>
      </c>
      <c r="Q182" s="4">
        <f>MONTH(cleaned_data[[#This Row],[Req Date]])</f>
        <v>12</v>
      </c>
      <c r="R182" s="4">
        <f>DAY(cleaned_data[[#This Row],[Req Date]])</f>
        <v>5</v>
      </c>
    </row>
    <row r="183" spans="1:18" ht="15.6" x14ac:dyDescent="0.25">
      <c r="A183" s="4" t="str">
        <f>raw_data[[#This Row],[First Name]]</f>
        <v>Phyllis</v>
      </c>
      <c r="B183" s="4" t="str">
        <f>raw_data[[#This Row],[Last Name]]</f>
        <v>Cox</v>
      </c>
      <c r="C183" s="4" t="str">
        <f>TRIM(cleaned_data[[#This Row],[First Name]]&amp; " "&amp;cleaned_data[[#This Row],[Last Name]])</f>
        <v>Phyllis Cox</v>
      </c>
      <c r="D183" s="4" t="str">
        <f>raw_data[[#This Row],[Phone]]</f>
        <v>(565) 141-3529</v>
      </c>
      <c r="E183" s="4" t="str">
        <f>MID(cleaned_data[[#This Row],[Phone]],FIND("(",cleaned_data[[#This Row],[Phone]])+1,3)</f>
        <v>565</v>
      </c>
      <c r="F183" s="4" t="str">
        <f>RIGHT(SUBSTITUTE(cleaned_data[[#This Row],[Phone]],"-",""),7)</f>
        <v>1413529</v>
      </c>
      <c r="G183" s="4" t="str">
        <f>SUBSTITUTE(SUBSTITUTE(SUBSTITUTE(cleaned_data[[#This Row],[Phone]],"(",""),")","")," ","")</f>
        <v>565141-3529</v>
      </c>
      <c r="H183" s="4" t="str">
        <f>raw_data[[#This Row],[Street Address]]</f>
        <v>160-3783 Sem, Road</v>
      </c>
      <c r="I183" s="4" t="str">
        <f>TRIM(MID(cleaned_data[[#This Row],[Street Address]],FIND(" ",cleaned_data[[#This Row],[Street Address]])+1,LEN(cleaned_data[[#This Row],[Street Address]])))</f>
        <v>Sem, Road</v>
      </c>
      <c r="J183" s="15" t="str">
        <f>raw_data[[#This Row],[Zipcode]]</f>
        <v>01080</v>
      </c>
      <c r="K183" s="4" t="str">
        <f>cleaned_data[[#This Row],[Zipcode]]&amp;" - "&amp;cleaned_data[[#This Row],[Street Name]]</f>
        <v>01080 - Sem, Road</v>
      </c>
      <c r="L183" s="4" t="str">
        <f>LEFT(cleaned_data[[#This Row],[First Name]],3)&amp;LEFT(cleaned_data[[#This Row],[Last Name]],3)&amp;cleaned_data[[#This Row],[Area Code]]</f>
        <v>PhyCox565</v>
      </c>
      <c r="M183" s="4" t="str">
        <f>SUBSTITUTE(cleaned_data[[#This Row],[Street Address]],"St.","Street")</f>
        <v>160-3783 Sem, Road</v>
      </c>
      <c r="N183" s="4" t="str">
        <f>LEFT(cleaned_data[[#This Row],[Street Address]],FIND(" ",cleaned_data[[#This Row],[Street Address]])-1)</f>
        <v>160-3783</v>
      </c>
      <c r="O183" s="16">
        <f>raw_data[[#This Row],[Req Date]]</f>
        <v>41613</v>
      </c>
      <c r="P183" s="4">
        <f>YEAR(cleaned_data[[#This Row],[Req Date]])</f>
        <v>2013</v>
      </c>
      <c r="Q183" s="4">
        <f>MONTH(cleaned_data[[#This Row],[Req Date]])</f>
        <v>12</v>
      </c>
      <c r="R183" s="4">
        <f>DAY(cleaned_data[[#This Row],[Req Date]])</f>
        <v>5</v>
      </c>
    </row>
    <row r="184" spans="1:18" ht="15.6" x14ac:dyDescent="0.25">
      <c r="A184" s="4" t="str">
        <f>raw_data[[#This Row],[First Name]]</f>
        <v>Jason</v>
      </c>
      <c r="B184" s="4" t="str">
        <f>raw_data[[#This Row],[Last Name]]</f>
        <v>Gilmore</v>
      </c>
      <c r="C184" s="4" t="str">
        <f>TRIM(cleaned_data[[#This Row],[First Name]]&amp; " "&amp;cleaned_data[[#This Row],[Last Name]])</f>
        <v>Jason Gilmore</v>
      </c>
      <c r="D184" s="4" t="str">
        <f>raw_data[[#This Row],[Phone]]</f>
        <v>(964) 438-6633</v>
      </c>
      <c r="E184" s="4" t="str">
        <f>MID(cleaned_data[[#This Row],[Phone]],FIND("(",cleaned_data[[#This Row],[Phone]])+1,3)</f>
        <v>964</v>
      </c>
      <c r="F184" s="4" t="str">
        <f>RIGHT(SUBSTITUTE(cleaned_data[[#This Row],[Phone]],"-",""),7)</f>
        <v>4386633</v>
      </c>
      <c r="G184" s="4" t="str">
        <f>SUBSTITUTE(SUBSTITUTE(SUBSTITUTE(cleaned_data[[#This Row],[Phone]],"(",""),")","")," ","")</f>
        <v>964438-6633</v>
      </c>
      <c r="H184" s="4" t="str">
        <f>raw_data[[#This Row],[Street Address]]</f>
        <v>3886 Mauris Road</v>
      </c>
      <c r="I184" s="4" t="str">
        <f>TRIM(MID(cleaned_data[[#This Row],[Street Address]],FIND(" ",cleaned_data[[#This Row],[Street Address]])+1,LEN(cleaned_data[[#This Row],[Street Address]])))</f>
        <v>Mauris Road</v>
      </c>
      <c r="J184" s="15" t="str">
        <f>raw_data[[#This Row],[Zipcode]]</f>
        <v>01081</v>
      </c>
      <c r="K184" s="4" t="str">
        <f>cleaned_data[[#This Row],[Zipcode]]&amp;" - "&amp;cleaned_data[[#This Row],[Street Name]]</f>
        <v>01081 - Mauris Road</v>
      </c>
      <c r="L184" s="4" t="str">
        <f>LEFT(cleaned_data[[#This Row],[First Name]],3)&amp;LEFT(cleaned_data[[#This Row],[Last Name]],3)&amp;cleaned_data[[#This Row],[Area Code]]</f>
        <v>JasGil964</v>
      </c>
      <c r="M184" s="4" t="str">
        <f>SUBSTITUTE(cleaned_data[[#This Row],[Street Address]],"St.","Street")</f>
        <v>3886 Mauris Road</v>
      </c>
      <c r="N184" s="4" t="str">
        <f>LEFT(cleaned_data[[#This Row],[Street Address]],FIND(" ",cleaned_data[[#This Row],[Street Address]])-1)</f>
        <v>3886</v>
      </c>
      <c r="O184" s="16">
        <f>raw_data[[#This Row],[Req Date]]</f>
        <v>41655</v>
      </c>
      <c r="P184" s="4">
        <f>YEAR(cleaned_data[[#This Row],[Req Date]])</f>
        <v>2014</v>
      </c>
      <c r="Q184" s="4">
        <f>MONTH(cleaned_data[[#This Row],[Req Date]])</f>
        <v>1</v>
      </c>
      <c r="R184" s="4">
        <f>DAY(cleaned_data[[#This Row],[Req Date]])</f>
        <v>16</v>
      </c>
    </row>
    <row r="185" spans="1:18" ht="15.6" x14ac:dyDescent="0.25">
      <c r="A185" s="4" t="str">
        <f>raw_data[[#This Row],[First Name]]</f>
        <v>Gabriel</v>
      </c>
      <c r="B185" s="4" t="str">
        <f>raw_data[[#This Row],[Last Name]]</f>
        <v>Melendez</v>
      </c>
      <c r="C185" s="4" t="str">
        <f>TRIM(cleaned_data[[#This Row],[First Name]]&amp; " "&amp;cleaned_data[[#This Row],[Last Name]])</f>
        <v>Gabriel Melendez</v>
      </c>
      <c r="D185" s="4" t="str">
        <f>raw_data[[#This Row],[Phone]]</f>
        <v>(431) 778-5615</v>
      </c>
      <c r="E185" s="4" t="str">
        <f>MID(cleaned_data[[#This Row],[Phone]],FIND("(",cleaned_data[[#This Row],[Phone]])+1,3)</f>
        <v>431</v>
      </c>
      <c r="F185" s="4" t="str">
        <f>RIGHT(SUBSTITUTE(cleaned_data[[#This Row],[Phone]],"-",""),7)</f>
        <v>7785615</v>
      </c>
      <c r="G185" s="4" t="str">
        <f>SUBSTITUTE(SUBSTITUTE(SUBSTITUTE(cleaned_data[[#This Row],[Phone]],"(",""),")","")," ","")</f>
        <v>431778-5615</v>
      </c>
      <c r="H185" s="4" t="str">
        <f>raw_data[[#This Row],[Street Address]]</f>
        <v>6738 Condimentum Rd.</v>
      </c>
      <c r="I185" s="4" t="str">
        <f>TRIM(MID(cleaned_data[[#This Row],[Street Address]],FIND(" ",cleaned_data[[#This Row],[Street Address]])+1,LEN(cleaned_data[[#This Row],[Street Address]])))</f>
        <v>Condimentum Rd.</v>
      </c>
      <c r="J185" s="15" t="str">
        <f>raw_data[[#This Row],[Zipcode]]</f>
        <v>01930</v>
      </c>
      <c r="K185" s="4" t="str">
        <f>cleaned_data[[#This Row],[Zipcode]]&amp;" - "&amp;cleaned_data[[#This Row],[Street Name]]</f>
        <v>01930 - Condimentum Rd.</v>
      </c>
      <c r="L185" s="4" t="str">
        <f>LEFT(cleaned_data[[#This Row],[First Name]],3)&amp;LEFT(cleaned_data[[#This Row],[Last Name]],3)&amp;cleaned_data[[#This Row],[Area Code]]</f>
        <v>GabMel431</v>
      </c>
      <c r="M185" s="4" t="str">
        <f>SUBSTITUTE(cleaned_data[[#This Row],[Street Address]],"St.","Street")</f>
        <v>6738 Condimentum Rd.</v>
      </c>
      <c r="N185" s="4" t="str">
        <f>LEFT(cleaned_data[[#This Row],[Street Address]],FIND(" ",cleaned_data[[#This Row],[Street Address]])-1)</f>
        <v>6738</v>
      </c>
      <c r="O185" s="16">
        <f>raw_data[[#This Row],[Req Date]]</f>
        <v>41696</v>
      </c>
      <c r="P185" s="4">
        <f>YEAR(cleaned_data[[#This Row],[Req Date]])</f>
        <v>2014</v>
      </c>
      <c r="Q185" s="4">
        <f>MONTH(cleaned_data[[#This Row],[Req Date]])</f>
        <v>2</v>
      </c>
      <c r="R185" s="4">
        <f>DAY(cleaned_data[[#This Row],[Req Date]])</f>
        <v>26</v>
      </c>
    </row>
    <row r="186" spans="1:18" ht="15.6" x14ac:dyDescent="0.25">
      <c r="A186" s="4" t="str">
        <f>raw_data[[#This Row],[First Name]]</f>
        <v>Lance</v>
      </c>
      <c r="B186" s="4" t="str">
        <f>raw_data[[#This Row],[Last Name]]</f>
        <v>Fry</v>
      </c>
      <c r="C186" s="4" t="str">
        <f>TRIM(cleaned_data[[#This Row],[First Name]]&amp; " "&amp;cleaned_data[[#This Row],[Last Name]])</f>
        <v>Lance Fry</v>
      </c>
      <c r="D186" s="4" t="str">
        <f>raw_data[[#This Row],[Phone]]</f>
        <v>(999) 565-5729</v>
      </c>
      <c r="E186" s="4" t="str">
        <f>MID(cleaned_data[[#This Row],[Phone]],FIND("(",cleaned_data[[#This Row],[Phone]])+1,3)</f>
        <v>999</v>
      </c>
      <c r="F186" s="4" t="str">
        <f>RIGHT(SUBSTITUTE(cleaned_data[[#This Row],[Phone]],"-",""),7)</f>
        <v>5655729</v>
      </c>
      <c r="G186" s="4" t="str">
        <f>SUBSTITUTE(SUBSTITUTE(SUBSTITUTE(cleaned_data[[#This Row],[Phone]],"(",""),")","")," ","")</f>
        <v>999565-5729</v>
      </c>
      <c r="H186" s="4" t="str">
        <f>raw_data[[#This Row],[Street Address]]</f>
        <v>1756 Quisque Street</v>
      </c>
      <c r="I186" s="4" t="str">
        <f>TRIM(MID(cleaned_data[[#This Row],[Street Address]],FIND(" ",cleaned_data[[#This Row],[Street Address]])+1,LEN(cleaned_data[[#This Row],[Street Address]])))</f>
        <v>Quisque Street</v>
      </c>
      <c r="J186" s="15" t="str">
        <f>raw_data[[#This Row],[Zipcode]]</f>
        <v>02921</v>
      </c>
      <c r="K186" s="4" t="str">
        <f>cleaned_data[[#This Row],[Zipcode]]&amp;" - "&amp;cleaned_data[[#This Row],[Street Name]]</f>
        <v>02921 - Quisque Street</v>
      </c>
      <c r="L186" s="4" t="str">
        <f>LEFT(cleaned_data[[#This Row],[First Name]],3)&amp;LEFT(cleaned_data[[#This Row],[Last Name]],3)&amp;cleaned_data[[#This Row],[Area Code]]</f>
        <v>LanFry999</v>
      </c>
      <c r="M186" s="4" t="str">
        <f>SUBSTITUTE(cleaned_data[[#This Row],[Street Address]],"St.","Street")</f>
        <v>1756 Quisque Street</v>
      </c>
      <c r="N186" s="4" t="str">
        <f>LEFT(cleaned_data[[#This Row],[Street Address]],FIND(" ",cleaned_data[[#This Row],[Street Address]])-1)</f>
        <v>1756</v>
      </c>
      <c r="O186" s="16">
        <f>raw_data[[#This Row],[Req Date]]</f>
        <v>41665</v>
      </c>
      <c r="P186" s="4">
        <f>YEAR(cleaned_data[[#This Row],[Req Date]])</f>
        <v>2014</v>
      </c>
      <c r="Q186" s="4">
        <f>MONTH(cleaned_data[[#This Row],[Req Date]])</f>
        <v>1</v>
      </c>
      <c r="R186" s="4">
        <f>DAY(cleaned_data[[#This Row],[Req Date]])</f>
        <v>26</v>
      </c>
    </row>
    <row r="187" spans="1:18" ht="15.6" x14ac:dyDescent="0.25">
      <c r="A187" s="4" t="str">
        <f>raw_data[[#This Row],[First Name]]</f>
        <v>Jared</v>
      </c>
      <c r="B187" s="4" t="str">
        <f>raw_data[[#This Row],[Last Name]]</f>
        <v>Fleming</v>
      </c>
      <c r="C187" s="4" t="str">
        <f>TRIM(cleaned_data[[#This Row],[First Name]]&amp; " "&amp;cleaned_data[[#This Row],[Last Name]])</f>
        <v>Jared Fleming</v>
      </c>
      <c r="D187" s="4" t="str">
        <f>raw_data[[#This Row],[Phone]]</f>
        <v>(437) 122-2821</v>
      </c>
      <c r="E187" s="4" t="str">
        <f>MID(cleaned_data[[#This Row],[Phone]],FIND("(",cleaned_data[[#This Row],[Phone]])+1,3)</f>
        <v>437</v>
      </c>
      <c r="F187" s="4" t="str">
        <f>RIGHT(SUBSTITUTE(cleaned_data[[#This Row],[Phone]],"-",""),7)</f>
        <v>1222821</v>
      </c>
      <c r="G187" s="4" t="str">
        <f>SUBSTITUTE(SUBSTITUTE(SUBSTITUTE(cleaned_data[[#This Row],[Phone]],"(",""),")","")," ","")</f>
        <v>437122-2821</v>
      </c>
      <c r="H187" s="4" t="str">
        <f>raw_data[[#This Row],[Street Address]]</f>
        <v>2988 Cherokee Ave.</v>
      </c>
      <c r="I187" s="4" t="str">
        <f>TRIM(MID(cleaned_data[[#This Row],[Street Address]],FIND(" ",cleaned_data[[#This Row],[Street Address]])+1,LEN(cleaned_data[[#This Row],[Street Address]])))</f>
        <v>Cherokee Ave.</v>
      </c>
      <c r="J187" s="15" t="str">
        <f>raw_data[[#This Row],[Zipcode]]</f>
        <v>02940</v>
      </c>
      <c r="K187" s="4" t="str">
        <f>cleaned_data[[#This Row],[Zipcode]]&amp;" - "&amp;cleaned_data[[#This Row],[Street Name]]</f>
        <v>02940 - Cherokee Ave.</v>
      </c>
      <c r="L187" s="4" t="str">
        <f>LEFT(cleaned_data[[#This Row],[First Name]],3)&amp;LEFT(cleaned_data[[#This Row],[Last Name]],3)&amp;cleaned_data[[#This Row],[Area Code]]</f>
        <v>JarFle437</v>
      </c>
      <c r="M187" s="4" t="str">
        <f>SUBSTITUTE(cleaned_data[[#This Row],[Street Address]],"St.","Street")</f>
        <v>2988 Cherokee Ave.</v>
      </c>
      <c r="N187" s="4" t="str">
        <f>LEFT(cleaned_data[[#This Row],[Street Address]],FIND(" ",cleaned_data[[#This Row],[Street Address]])-1)</f>
        <v>2988</v>
      </c>
      <c r="O187" s="16">
        <f>raw_data[[#This Row],[Req Date]]</f>
        <v>41641</v>
      </c>
      <c r="P187" s="4">
        <f>YEAR(cleaned_data[[#This Row],[Req Date]])</f>
        <v>2014</v>
      </c>
      <c r="Q187" s="4">
        <f>MONTH(cleaned_data[[#This Row],[Req Date]])</f>
        <v>1</v>
      </c>
      <c r="R187" s="4">
        <f>DAY(cleaned_data[[#This Row],[Req Date]])</f>
        <v>2</v>
      </c>
    </row>
    <row r="188" spans="1:18" ht="15.6" x14ac:dyDescent="0.25">
      <c r="A188" s="4" t="str">
        <f>raw_data[[#This Row],[First Name]]</f>
        <v>Magee</v>
      </c>
      <c r="B188" s="4" t="str">
        <f>raw_data[[#This Row],[Last Name]]</f>
        <v>Davis</v>
      </c>
      <c r="C188" s="4" t="str">
        <f>TRIM(cleaned_data[[#This Row],[First Name]]&amp; " "&amp;cleaned_data[[#This Row],[Last Name]])</f>
        <v>Magee Davis</v>
      </c>
      <c r="D188" s="4" t="str">
        <f>raw_data[[#This Row],[Phone]]</f>
        <v>(284) 963-7060</v>
      </c>
      <c r="E188" s="4" t="str">
        <f>MID(cleaned_data[[#This Row],[Phone]],FIND("(",cleaned_data[[#This Row],[Phone]])+1,3)</f>
        <v>284</v>
      </c>
      <c r="F188" s="4" t="str">
        <f>RIGHT(SUBSTITUTE(cleaned_data[[#This Row],[Phone]],"-",""),7)</f>
        <v>9637060</v>
      </c>
      <c r="G188" s="4" t="str">
        <f>SUBSTITUTE(SUBSTITUTE(SUBSTITUTE(cleaned_data[[#This Row],[Phone]],"(",""),")","")," ","")</f>
        <v>284963-7060</v>
      </c>
      <c r="H188" s="4" t="str">
        <f>raw_data[[#This Row],[Street Address]]</f>
        <v>9519 Eustice Ave.</v>
      </c>
      <c r="I188" s="4" t="str">
        <f>TRIM(MID(cleaned_data[[#This Row],[Street Address]],FIND(" ",cleaned_data[[#This Row],[Street Address]])+1,LEN(cleaned_data[[#This Row],[Street Address]])))</f>
        <v>Eustice Ave.</v>
      </c>
      <c r="J188" s="15" t="str">
        <f>raw_data[[#This Row],[Zipcode]]</f>
        <v>03041</v>
      </c>
      <c r="K188" s="4" t="str">
        <f>cleaned_data[[#This Row],[Zipcode]]&amp;" - "&amp;cleaned_data[[#This Row],[Street Name]]</f>
        <v>03041 - Eustice Ave.</v>
      </c>
      <c r="L188" s="4" t="str">
        <f>LEFT(cleaned_data[[#This Row],[First Name]],3)&amp;LEFT(cleaned_data[[#This Row],[Last Name]],3)&amp;cleaned_data[[#This Row],[Area Code]]</f>
        <v>MagDav284</v>
      </c>
      <c r="M188" s="4" t="str">
        <f>SUBSTITUTE(cleaned_data[[#This Row],[Street Address]],"St.","Street")</f>
        <v>9519 Eustice Ave.</v>
      </c>
      <c r="N188" s="4" t="str">
        <f>LEFT(cleaned_data[[#This Row],[Street Address]],FIND(" ",cleaned_data[[#This Row],[Street Address]])-1)</f>
        <v>9519</v>
      </c>
      <c r="O188" s="16">
        <f>raw_data[[#This Row],[Req Date]]</f>
        <v>41680</v>
      </c>
      <c r="P188" s="4">
        <f>YEAR(cleaned_data[[#This Row],[Req Date]])</f>
        <v>2014</v>
      </c>
      <c r="Q188" s="4">
        <f>MONTH(cleaned_data[[#This Row],[Req Date]])</f>
        <v>2</v>
      </c>
      <c r="R188" s="4">
        <f>DAY(cleaned_data[[#This Row],[Req Date]])</f>
        <v>10</v>
      </c>
    </row>
    <row r="189" spans="1:18" ht="15.6" x14ac:dyDescent="0.25">
      <c r="A189" s="4" t="str">
        <f>raw_data[[#This Row],[First Name]]</f>
        <v>Gillian</v>
      </c>
      <c r="B189" s="4" t="str">
        <f>raw_data[[#This Row],[Last Name]]</f>
        <v>Booker</v>
      </c>
      <c r="C189" s="4" t="str">
        <f>TRIM(cleaned_data[[#This Row],[First Name]]&amp; " "&amp;cleaned_data[[#This Row],[Last Name]])</f>
        <v>Gillian Booker</v>
      </c>
      <c r="D189" s="4" t="str">
        <f>raw_data[[#This Row],[Phone]]</f>
        <v>(306) 895-2060</v>
      </c>
      <c r="E189" s="4" t="str">
        <f>MID(cleaned_data[[#This Row],[Phone]],FIND("(",cleaned_data[[#This Row],[Phone]])+1,3)</f>
        <v>306</v>
      </c>
      <c r="F189" s="4" t="str">
        <f>RIGHT(SUBSTITUTE(cleaned_data[[#This Row],[Phone]],"-",""),7)</f>
        <v>8952060</v>
      </c>
      <c r="G189" s="4" t="str">
        <f>SUBSTITUTE(SUBSTITUTE(SUBSTITUTE(cleaned_data[[#This Row],[Phone]],"(",""),")","")," ","")</f>
        <v>306895-2060</v>
      </c>
      <c r="H189" s="4" t="str">
        <f>raw_data[[#This Row],[Street Address]]</f>
        <v>3095 Sodales Rd.</v>
      </c>
      <c r="I189" s="4" t="str">
        <f>TRIM(MID(cleaned_data[[#This Row],[Street Address]],FIND(" ",cleaned_data[[#This Row],[Street Address]])+1,LEN(cleaned_data[[#This Row],[Street Address]])))</f>
        <v>Sodales Rd.</v>
      </c>
      <c r="J189" s="15" t="str">
        <f>raw_data[[#This Row],[Zipcode]]</f>
        <v>03042</v>
      </c>
      <c r="K189" s="4" t="str">
        <f>cleaned_data[[#This Row],[Zipcode]]&amp;" - "&amp;cleaned_data[[#This Row],[Street Name]]</f>
        <v>03042 - Sodales Rd.</v>
      </c>
      <c r="L189" s="4" t="str">
        <f>LEFT(cleaned_data[[#This Row],[First Name]],3)&amp;LEFT(cleaned_data[[#This Row],[Last Name]],3)&amp;cleaned_data[[#This Row],[Area Code]]</f>
        <v>GilBoo306</v>
      </c>
      <c r="M189" s="4" t="str">
        <f>SUBSTITUTE(cleaned_data[[#This Row],[Street Address]],"St.","Street")</f>
        <v>3095 Sodales Rd.</v>
      </c>
      <c r="N189" s="4" t="str">
        <f>LEFT(cleaned_data[[#This Row],[Street Address]],FIND(" ",cleaned_data[[#This Row],[Street Address]])-1)</f>
        <v>3095</v>
      </c>
      <c r="O189" s="16">
        <f>raw_data[[#This Row],[Req Date]]</f>
        <v>41653</v>
      </c>
      <c r="P189" s="4">
        <f>YEAR(cleaned_data[[#This Row],[Req Date]])</f>
        <v>2014</v>
      </c>
      <c r="Q189" s="4">
        <f>MONTH(cleaned_data[[#This Row],[Req Date]])</f>
        <v>1</v>
      </c>
      <c r="R189" s="4">
        <f>DAY(cleaned_data[[#This Row],[Req Date]])</f>
        <v>14</v>
      </c>
    </row>
    <row r="190" spans="1:18" ht="15.6" x14ac:dyDescent="0.25">
      <c r="A190" s="4" t="str">
        <f>raw_data[[#This Row],[First Name]]</f>
        <v>Imani</v>
      </c>
      <c r="B190" s="4" t="str">
        <f>raw_data[[#This Row],[Last Name]]</f>
        <v>Gibson</v>
      </c>
      <c r="C190" s="4" t="str">
        <f>TRIM(cleaned_data[[#This Row],[First Name]]&amp; " "&amp;cleaned_data[[#This Row],[Last Name]])</f>
        <v>Imani Gibson</v>
      </c>
      <c r="D190" s="4" t="str">
        <f>raw_data[[#This Row],[Phone]]</f>
        <v>(711) 620-0520</v>
      </c>
      <c r="E190" s="4" t="str">
        <f>MID(cleaned_data[[#This Row],[Phone]],FIND("(",cleaned_data[[#This Row],[Phone]])+1,3)</f>
        <v>711</v>
      </c>
      <c r="F190" s="4" t="str">
        <f>RIGHT(SUBSTITUTE(cleaned_data[[#This Row],[Phone]],"-",""),7)</f>
        <v>6200520</v>
      </c>
      <c r="G190" s="4" t="str">
        <f>SUBSTITUTE(SUBSTITUTE(SUBSTITUTE(cleaned_data[[#This Row],[Phone]],"(",""),")","")," ","")</f>
        <v>711620-0520</v>
      </c>
      <c r="H190" s="4" t="str">
        <f>raw_data[[#This Row],[Street Address]]</f>
        <v>3629 Main Street</v>
      </c>
      <c r="I190" s="4" t="str">
        <f>TRIM(MID(cleaned_data[[#This Row],[Street Address]],FIND(" ",cleaned_data[[#This Row],[Street Address]])+1,LEN(cleaned_data[[#This Row],[Street Address]])))</f>
        <v>Main Street</v>
      </c>
      <c r="J190" s="15" t="str">
        <f>raw_data[[#This Row],[Zipcode]]</f>
        <v>04063</v>
      </c>
      <c r="K190" s="4" t="str">
        <f>cleaned_data[[#This Row],[Zipcode]]&amp;" - "&amp;cleaned_data[[#This Row],[Street Name]]</f>
        <v>04063 - Main Street</v>
      </c>
      <c r="L190" s="4" t="str">
        <f>LEFT(cleaned_data[[#This Row],[First Name]],3)&amp;LEFT(cleaned_data[[#This Row],[Last Name]],3)&amp;cleaned_data[[#This Row],[Area Code]]</f>
        <v>ImaGib711</v>
      </c>
      <c r="M190" s="4" t="str">
        <f>SUBSTITUTE(cleaned_data[[#This Row],[Street Address]],"St.","Street")</f>
        <v>3629 Main Street</v>
      </c>
      <c r="N190" s="4" t="str">
        <f>LEFT(cleaned_data[[#This Row],[Street Address]],FIND(" ",cleaned_data[[#This Row],[Street Address]])-1)</f>
        <v>3629</v>
      </c>
      <c r="O190" s="16">
        <f>raw_data[[#This Row],[Req Date]]</f>
        <v>41679</v>
      </c>
      <c r="P190" s="4">
        <f>YEAR(cleaned_data[[#This Row],[Req Date]])</f>
        <v>2014</v>
      </c>
      <c r="Q190" s="4">
        <f>MONTH(cleaned_data[[#This Row],[Req Date]])</f>
        <v>2</v>
      </c>
      <c r="R190" s="4">
        <f>DAY(cleaned_data[[#This Row],[Req Date]])</f>
        <v>9</v>
      </c>
    </row>
    <row r="191" spans="1:18" ht="15.6" x14ac:dyDescent="0.25">
      <c r="A191" s="4" t="str">
        <f>raw_data[[#This Row],[First Name]]</f>
        <v>Hanae</v>
      </c>
      <c r="B191" s="4" t="str">
        <f>raw_data[[#This Row],[Last Name]]</f>
        <v>Hinton</v>
      </c>
      <c r="C191" s="4" t="str">
        <f>TRIM(cleaned_data[[#This Row],[First Name]]&amp; " "&amp;cleaned_data[[#This Row],[Last Name]])</f>
        <v>Hanae Hinton</v>
      </c>
      <c r="D191" s="4" t="str">
        <f>raw_data[[#This Row],[Phone]]</f>
        <v>(876) 592-2083</v>
      </c>
      <c r="E191" s="4" t="str">
        <f>MID(cleaned_data[[#This Row],[Phone]],FIND("(",cleaned_data[[#This Row],[Phone]])+1,3)</f>
        <v>876</v>
      </c>
      <c r="F191" s="4" t="str">
        <f>RIGHT(SUBSTITUTE(cleaned_data[[#This Row],[Phone]],"-",""),7)</f>
        <v>5922083</v>
      </c>
      <c r="G191" s="4" t="str">
        <f>SUBSTITUTE(SUBSTITUTE(SUBSTITUTE(cleaned_data[[#This Row],[Phone]],"(",""),")","")," ","")</f>
        <v>876592-2083</v>
      </c>
      <c r="H191" s="4" t="str">
        <f>raw_data[[#This Row],[Street Address]]</f>
        <v>6130 Frost Drive</v>
      </c>
      <c r="I191" s="4" t="str">
        <f>TRIM(MID(cleaned_data[[#This Row],[Street Address]],FIND(" ",cleaned_data[[#This Row],[Street Address]])+1,LEN(cleaned_data[[#This Row],[Street Address]])))</f>
        <v>Frost Drive</v>
      </c>
      <c r="J191" s="15" t="str">
        <f>raw_data[[#This Row],[Zipcode]]</f>
        <v>04064</v>
      </c>
      <c r="K191" s="4" t="str">
        <f>cleaned_data[[#This Row],[Zipcode]]&amp;" - "&amp;cleaned_data[[#This Row],[Street Name]]</f>
        <v>04064 - Frost Drive</v>
      </c>
      <c r="L191" s="4" t="str">
        <f>LEFT(cleaned_data[[#This Row],[First Name]],3)&amp;LEFT(cleaned_data[[#This Row],[Last Name]],3)&amp;cleaned_data[[#This Row],[Area Code]]</f>
        <v>HanHin876</v>
      </c>
      <c r="M191" s="4" t="str">
        <f>SUBSTITUTE(cleaned_data[[#This Row],[Street Address]],"St.","Street")</f>
        <v>6130 Frost Drive</v>
      </c>
      <c r="N191" s="4" t="str">
        <f>LEFT(cleaned_data[[#This Row],[Street Address]],FIND(" ",cleaned_data[[#This Row],[Street Address]])-1)</f>
        <v>6130</v>
      </c>
      <c r="O191" s="16">
        <f>raw_data[[#This Row],[Req Date]]</f>
        <v>41661</v>
      </c>
      <c r="P191" s="4">
        <f>YEAR(cleaned_data[[#This Row],[Req Date]])</f>
        <v>2014</v>
      </c>
      <c r="Q191" s="4">
        <f>MONTH(cleaned_data[[#This Row],[Req Date]])</f>
        <v>1</v>
      </c>
      <c r="R191" s="4">
        <f>DAY(cleaned_data[[#This Row],[Req Date]])</f>
        <v>22</v>
      </c>
    </row>
    <row r="192" spans="1:18" ht="15.6" x14ac:dyDescent="0.25">
      <c r="A192" s="4" t="str">
        <f>raw_data[[#This Row],[First Name]]</f>
        <v>Keely</v>
      </c>
      <c r="B192" s="4" t="str">
        <f>raw_data[[#This Row],[Last Name]]</f>
        <v>Nicholson</v>
      </c>
      <c r="C192" s="4" t="str">
        <f>TRIM(cleaned_data[[#This Row],[First Name]]&amp; " "&amp;cleaned_data[[#This Row],[Last Name]])</f>
        <v>Keely Nicholson</v>
      </c>
      <c r="D192" s="4" t="str">
        <f>raw_data[[#This Row],[Phone]]</f>
        <v>(744) 345-6744</v>
      </c>
      <c r="E192" s="4" t="str">
        <f>MID(cleaned_data[[#This Row],[Phone]],FIND("(",cleaned_data[[#This Row],[Phone]])+1,3)</f>
        <v>744</v>
      </c>
      <c r="F192" s="4" t="str">
        <f>RIGHT(SUBSTITUTE(cleaned_data[[#This Row],[Phone]],"-",""),7)</f>
        <v>3456744</v>
      </c>
      <c r="G192" s="4" t="str">
        <f>SUBSTITUTE(SUBSTITUTE(SUBSTITUTE(cleaned_data[[#This Row],[Phone]],"(",""),")","")," ","")</f>
        <v>744345-6744</v>
      </c>
      <c r="H192" s="4" t="str">
        <f>raw_data[[#This Row],[Street Address]]</f>
        <v>2005 Hope St.</v>
      </c>
      <c r="I192" s="4" t="str">
        <f>TRIM(MID(cleaned_data[[#This Row],[Street Address]],FIND(" ",cleaned_data[[#This Row],[Street Address]])+1,LEN(cleaned_data[[#This Row],[Street Address]])))</f>
        <v>Hope St.</v>
      </c>
      <c r="J192" s="15" t="str">
        <f>raw_data[[#This Row],[Zipcode]]</f>
        <v>04468</v>
      </c>
      <c r="K192" s="4" t="str">
        <f>cleaned_data[[#This Row],[Zipcode]]&amp;" - "&amp;cleaned_data[[#This Row],[Street Name]]</f>
        <v>04468 - Hope St.</v>
      </c>
      <c r="L192" s="4" t="str">
        <f>LEFT(cleaned_data[[#This Row],[First Name]],3)&amp;LEFT(cleaned_data[[#This Row],[Last Name]],3)&amp;cleaned_data[[#This Row],[Area Code]]</f>
        <v>KeeNic744</v>
      </c>
      <c r="M192" s="4" t="str">
        <f>SUBSTITUTE(cleaned_data[[#This Row],[Street Address]],"St.","Street")</f>
        <v>2005 Hope Street</v>
      </c>
      <c r="N192" s="4" t="str">
        <f>LEFT(cleaned_data[[#This Row],[Street Address]],FIND(" ",cleaned_data[[#This Row],[Street Address]])-1)</f>
        <v>2005</v>
      </c>
      <c r="O192" s="16">
        <f>raw_data[[#This Row],[Req Date]]</f>
        <v>41688</v>
      </c>
      <c r="P192" s="4">
        <f>YEAR(cleaned_data[[#This Row],[Req Date]])</f>
        <v>2014</v>
      </c>
      <c r="Q192" s="4">
        <f>MONTH(cleaned_data[[#This Row],[Req Date]])</f>
        <v>2</v>
      </c>
      <c r="R192" s="4">
        <f>DAY(cleaned_data[[#This Row],[Req Date]])</f>
        <v>18</v>
      </c>
    </row>
    <row r="193" spans="1:18" ht="15.6" x14ac:dyDescent="0.25">
      <c r="A193" s="4" t="str">
        <f>raw_data[[#This Row],[First Name]]</f>
        <v>Ira</v>
      </c>
      <c r="B193" s="4" t="str">
        <f>raw_data[[#This Row],[Last Name]]</f>
        <v>Lopez</v>
      </c>
      <c r="C193" s="4" t="str">
        <f>TRIM(cleaned_data[[#This Row],[First Name]]&amp; " "&amp;cleaned_data[[#This Row],[Last Name]])</f>
        <v>Ira Lopez</v>
      </c>
      <c r="D193" s="4" t="str">
        <f>raw_data[[#This Row],[Phone]]</f>
        <v>(332) 609-6071</v>
      </c>
      <c r="E193" s="4" t="str">
        <f>MID(cleaned_data[[#This Row],[Phone]],FIND("(",cleaned_data[[#This Row],[Phone]])+1,3)</f>
        <v>332</v>
      </c>
      <c r="F193" s="4" t="str">
        <f>RIGHT(SUBSTITUTE(cleaned_data[[#This Row],[Phone]],"-",""),7)</f>
        <v>6096071</v>
      </c>
      <c r="G193" s="4" t="str">
        <f>SUBSTITUTE(SUBSTITUTE(SUBSTITUTE(cleaned_data[[#This Row],[Phone]],"(",""),")","")," ","")</f>
        <v>332609-6071</v>
      </c>
      <c r="H193" s="4" t="str">
        <f>raw_data[[#This Row],[Street Address]]</f>
        <v>6921 Pahl Road</v>
      </c>
      <c r="I193" s="4" t="str">
        <f>TRIM(MID(cleaned_data[[#This Row],[Street Address]],FIND(" ",cleaned_data[[#This Row],[Street Address]])+1,LEN(cleaned_data[[#This Row],[Street Address]])))</f>
        <v>Pahl Road</v>
      </c>
      <c r="J193" s="15" t="str">
        <f>raw_data[[#This Row],[Zipcode]]</f>
        <v>05745</v>
      </c>
      <c r="K193" s="4" t="str">
        <f>cleaned_data[[#This Row],[Zipcode]]&amp;" - "&amp;cleaned_data[[#This Row],[Street Name]]</f>
        <v>05745 - Pahl Road</v>
      </c>
      <c r="L193" s="4" t="str">
        <f>LEFT(cleaned_data[[#This Row],[First Name]],3)&amp;LEFT(cleaned_data[[#This Row],[Last Name]],3)&amp;cleaned_data[[#This Row],[Area Code]]</f>
        <v>IraLop332</v>
      </c>
      <c r="M193" s="4" t="str">
        <f>SUBSTITUTE(cleaned_data[[#This Row],[Street Address]],"St.","Street")</f>
        <v>6921 Pahl Road</v>
      </c>
      <c r="N193" s="4" t="str">
        <f>LEFT(cleaned_data[[#This Row],[Street Address]],FIND(" ",cleaned_data[[#This Row],[Street Address]])-1)</f>
        <v>6921</v>
      </c>
      <c r="O193" s="16">
        <f>raw_data[[#This Row],[Req Date]]</f>
        <v>41685</v>
      </c>
      <c r="P193" s="4">
        <f>YEAR(cleaned_data[[#This Row],[Req Date]])</f>
        <v>2014</v>
      </c>
      <c r="Q193" s="4">
        <f>MONTH(cleaned_data[[#This Row],[Req Date]])</f>
        <v>2</v>
      </c>
      <c r="R193" s="4">
        <f>DAY(cleaned_data[[#This Row],[Req Date]])</f>
        <v>15</v>
      </c>
    </row>
    <row r="194" spans="1:18" ht="15.6" x14ac:dyDescent="0.25">
      <c r="A194" s="4" t="str">
        <f>raw_data[[#This Row],[First Name]]</f>
        <v>Karleigh</v>
      </c>
      <c r="B194" s="4" t="str">
        <f>raw_data[[#This Row],[Last Name]]</f>
        <v>Brown</v>
      </c>
      <c r="C194" s="4" t="str">
        <f>TRIM(cleaned_data[[#This Row],[First Name]]&amp; " "&amp;cleaned_data[[#This Row],[Last Name]])</f>
        <v>Karleigh Brown</v>
      </c>
      <c r="D194" s="4" t="str">
        <f>raw_data[[#This Row],[Phone]]</f>
        <v>(861) 462-2256</v>
      </c>
      <c r="E194" s="4" t="str">
        <f>MID(cleaned_data[[#This Row],[Phone]],FIND("(",cleaned_data[[#This Row],[Phone]])+1,3)</f>
        <v>861</v>
      </c>
      <c r="F194" s="4" t="str">
        <f>RIGHT(SUBSTITUTE(cleaned_data[[#This Row],[Phone]],"-",""),7)</f>
        <v>4622256</v>
      </c>
      <c r="G194" s="4" t="str">
        <f>SUBSTITUTE(SUBSTITUTE(SUBSTITUTE(cleaned_data[[#This Row],[Phone]],"(",""),")","")," ","")</f>
        <v>861462-2256</v>
      </c>
      <c r="H194" s="4" t="str">
        <f>raw_data[[#This Row],[Street Address]]</f>
        <v>8398 Wilson Road</v>
      </c>
      <c r="I194" s="4" t="str">
        <f>TRIM(MID(cleaned_data[[#This Row],[Street Address]],FIND(" ",cleaned_data[[#This Row],[Street Address]])+1,LEN(cleaned_data[[#This Row],[Street Address]])))</f>
        <v>Wilson Road</v>
      </c>
      <c r="J194" s="15" t="str">
        <f>raw_data[[#This Row],[Zipcode]]</f>
        <v>05746</v>
      </c>
      <c r="K194" s="4" t="str">
        <f>cleaned_data[[#This Row],[Zipcode]]&amp;" - "&amp;cleaned_data[[#This Row],[Street Name]]</f>
        <v>05746 - Wilson Road</v>
      </c>
      <c r="L194" s="4" t="str">
        <f>LEFT(cleaned_data[[#This Row],[First Name]],3)&amp;LEFT(cleaned_data[[#This Row],[Last Name]],3)&amp;cleaned_data[[#This Row],[Area Code]]</f>
        <v>KarBro861</v>
      </c>
      <c r="M194" s="4" t="str">
        <f>SUBSTITUTE(cleaned_data[[#This Row],[Street Address]],"St.","Street")</f>
        <v>8398 Wilson Road</v>
      </c>
      <c r="N194" s="4" t="str">
        <f>LEFT(cleaned_data[[#This Row],[Street Address]],FIND(" ",cleaned_data[[#This Row],[Street Address]])-1)</f>
        <v>8398</v>
      </c>
      <c r="O194" s="16">
        <f>raw_data[[#This Row],[Req Date]]</f>
        <v>41695</v>
      </c>
      <c r="P194" s="4">
        <f>YEAR(cleaned_data[[#This Row],[Req Date]])</f>
        <v>2014</v>
      </c>
      <c r="Q194" s="4">
        <f>MONTH(cleaned_data[[#This Row],[Req Date]])</f>
        <v>2</v>
      </c>
      <c r="R194" s="4">
        <f>DAY(cleaned_data[[#This Row],[Req Date]])</f>
        <v>25</v>
      </c>
    </row>
    <row r="195" spans="1:18" ht="15.6" x14ac:dyDescent="0.25">
      <c r="A195" s="4" t="str">
        <f>raw_data[[#This Row],[First Name]]</f>
        <v>Claudia</v>
      </c>
      <c r="B195" s="4" t="str">
        <f>raw_data[[#This Row],[Last Name]]</f>
        <v>Young</v>
      </c>
      <c r="C195" s="4" t="str">
        <f>TRIM(cleaned_data[[#This Row],[First Name]]&amp; " "&amp;cleaned_data[[#This Row],[Last Name]])</f>
        <v>Claudia Young</v>
      </c>
      <c r="D195" s="4" t="str">
        <f>raw_data[[#This Row],[Phone]]</f>
        <v>(980) 624-8934</v>
      </c>
      <c r="E195" s="4" t="str">
        <f>MID(cleaned_data[[#This Row],[Phone]],FIND("(",cleaned_data[[#This Row],[Phone]])+1,3)</f>
        <v>980</v>
      </c>
      <c r="F195" s="4" t="str">
        <f>RIGHT(SUBSTITUTE(cleaned_data[[#This Row],[Phone]],"-",""),7)</f>
        <v>6248934</v>
      </c>
      <c r="G195" s="4" t="str">
        <f>SUBSTITUTE(SUBSTITUTE(SUBSTITUTE(cleaned_data[[#This Row],[Phone]],"(",""),")","")," ","")</f>
        <v>980624-8934</v>
      </c>
      <c r="H195" s="4" t="str">
        <f>raw_data[[#This Row],[Street Address]]</f>
        <v>9898 Jane Addams Avenue</v>
      </c>
      <c r="I195" s="4" t="str">
        <f>TRIM(MID(cleaned_data[[#This Row],[Street Address]],FIND(" ",cleaned_data[[#This Row],[Street Address]])+1,LEN(cleaned_data[[#This Row],[Street Address]])))</f>
        <v>Jane Addams Avenue</v>
      </c>
      <c r="J195" s="15" t="str">
        <f>raw_data[[#This Row],[Zipcode]]</f>
        <v>06417</v>
      </c>
      <c r="K195" s="4" t="str">
        <f>cleaned_data[[#This Row],[Zipcode]]&amp;" - "&amp;cleaned_data[[#This Row],[Street Name]]</f>
        <v>06417 - Jane Addams Avenue</v>
      </c>
      <c r="L195" s="4" t="str">
        <f>LEFT(cleaned_data[[#This Row],[First Name]],3)&amp;LEFT(cleaned_data[[#This Row],[Last Name]],3)&amp;cleaned_data[[#This Row],[Area Code]]</f>
        <v>ClaYou980</v>
      </c>
      <c r="M195" s="4" t="str">
        <f>SUBSTITUTE(cleaned_data[[#This Row],[Street Address]],"St.","Street")</f>
        <v>9898 Jane Addams Avenue</v>
      </c>
      <c r="N195" s="4" t="str">
        <f>LEFT(cleaned_data[[#This Row],[Street Address]],FIND(" ",cleaned_data[[#This Row],[Street Address]])-1)</f>
        <v>9898</v>
      </c>
      <c r="O195" s="16">
        <f>raw_data[[#This Row],[Req Date]]</f>
        <v>41654</v>
      </c>
      <c r="P195" s="4">
        <f>YEAR(cleaned_data[[#This Row],[Req Date]])</f>
        <v>2014</v>
      </c>
      <c r="Q195" s="4">
        <f>MONTH(cleaned_data[[#This Row],[Req Date]])</f>
        <v>1</v>
      </c>
      <c r="R195" s="4">
        <f>DAY(cleaned_data[[#This Row],[Req Date]])</f>
        <v>15</v>
      </c>
    </row>
    <row r="196" spans="1:18" ht="15.6" x14ac:dyDescent="0.25">
      <c r="A196" s="4" t="str">
        <f>raw_data[[#This Row],[First Name]]</f>
        <v>Willa</v>
      </c>
      <c r="B196" s="4" t="str">
        <f>raw_data[[#This Row],[Last Name]]</f>
        <v>Meyers</v>
      </c>
      <c r="C196" s="4" t="str">
        <f>TRIM(cleaned_data[[#This Row],[First Name]]&amp; " "&amp;cleaned_data[[#This Row],[Last Name]])</f>
        <v>Willa Meyers</v>
      </c>
      <c r="D196" s="4" t="str">
        <f>raw_data[[#This Row],[Phone]]</f>
        <v>(159) 385-5743</v>
      </c>
      <c r="E196" s="4" t="str">
        <f>MID(cleaned_data[[#This Row],[Phone]],FIND("(",cleaned_data[[#This Row],[Phone]])+1,3)</f>
        <v>159</v>
      </c>
      <c r="F196" s="4" t="str">
        <f>RIGHT(SUBSTITUTE(cleaned_data[[#This Row],[Phone]],"-",""),7)</f>
        <v>3855743</v>
      </c>
      <c r="G196" s="4" t="str">
        <f>SUBSTITUTE(SUBSTITUTE(SUBSTITUTE(cleaned_data[[#This Row],[Phone]],"(",""),")","")," ","")</f>
        <v>159385-5743</v>
      </c>
      <c r="H196" s="4" t="str">
        <f>raw_data[[#This Row],[Street Address]]</f>
        <v>340-B Fourteenth Street</v>
      </c>
      <c r="I196" s="4" t="str">
        <f>TRIM(MID(cleaned_data[[#This Row],[Street Address]],FIND(" ",cleaned_data[[#This Row],[Street Address]])+1,LEN(cleaned_data[[#This Row],[Street Address]])))</f>
        <v>Fourteenth Street</v>
      </c>
      <c r="J196" s="15" t="str">
        <f>raw_data[[#This Row],[Zipcode]]</f>
        <v>06418</v>
      </c>
      <c r="K196" s="4" t="str">
        <f>cleaned_data[[#This Row],[Zipcode]]&amp;" - "&amp;cleaned_data[[#This Row],[Street Name]]</f>
        <v>06418 - Fourteenth Street</v>
      </c>
      <c r="L196" s="4" t="str">
        <f>LEFT(cleaned_data[[#This Row],[First Name]],3)&amp;LEFT(cleaned_data[[#This Row],[Last Name]],3)&amp;cleaned_data[[#This Row],[Area Code]]</f>
        <v>WilMey159</v>
      </c>
      <c r="M196" s="4" t="str">
        <f>SUBSTITUTE(cleaned_data[[#This Row],[Street Address]],"St.","Street")</f>
        <v>340-B Fourteenth Street</v>
      </c>
      <c r="N196" s="4" t="str">
        <f>LEFT(cleaned_data[[#This Row],[Street Address]],FIND(" ",cleaned_data[[#This Row],[Street Address]])-1)</f>
        <v>340-B</v>
      </c>
      <c r="O196" s="16">
        <f>raw_data[[#This Row],[Req Date]]</f>
        <v>41670</v>
      </c>
      <c r="P196" s="4">
        <f>YEAR(cleaned_data[[#This Row],[Req Date]])</f>
        <v>2014</v>
      </c>
      <c r="Q196" s="4">
        <f>MONTH(cleaned_data[[#This Row],[Req Date]])</f>
        <v>1</v>
      </c>
      <c r="R196" s="4">
        <f>DAY(cleaned_data[[#This Row],[Req Date]])</f>
        <v>31</v>
      </c>
    </row>
    <row r="197" spans="1:18" ht="15.6" x14ac:dyDescent="0.25">
      <c r="A197" s="4" t="str">
        <f>raw_data[[#This Row],[First Name]]</f>
        <v>Lance</v>
      </c>
      <c r="B197" s="4" t="str">
        <f>raw_data[[#This Row],[Last Name]]</f>
        <v>Fulton</v>
      </c>
      <c r="C197" s="4" t="str">
        <f>TRIM(cleaned_data[[#This Row],[First Name]]&amp; " "&amp;cleaned_data[[#This Row],[Last Name]])</f>
        <v>Lance Fulton</v>
      </c>
      <c r="D197" s="4" t="str">
        <f>raw_data[[#This Row],[Phone]]</f>
        <v>(709) 612-0026</v>
      </c>
      <c r="E197" s="4" t="str">
        <f>MID(cleaned_data[[#This Row],[Phone]],FIND("(",cleaned_data[[#This Row],[Phone]])+1,3)</f>
        <v>709</v>
      </c>
      <c r="F197" s="4" t="str">
        <f>RIGHT(SUBSTITUTE(cleaned_data[[#This Row],[Phone]],"-",""),7)</f>
        <v>6120026</v>
      </c>
      <c r="G197" s="4" t="str">
        <f>SUBSTITUTE(SUBSTITUTE(SUBSTITUTE(cleaned_data[[#This Row],[Phone]],"(",""),")","")," ","")</f>
        <v>709612-0026</v>
      </c>
      <c r="H197" s="4" t="str">
        <f>raw_data[[#This Row],[Street Address]]</f>
        <v>600 Brunswick Ave.</v>
      </c>
      <c r="I197" s="4" t="str">
        <f>TRIM(MID(cleaned_data[[#This Row],[Street Address]],FIND(" ",cleaned_data[[#This Row],[Street Address]])+1,LEN(cleaned_data[[#This Row],[Street Address]])))</f>
        <v>Brunswick Ave.</v>
      </c>
      <c r="J197" s="15" t="str">
        <f>raw_data[[#This Row],[Zipcode]]</f>
        <v>06419</v>
      </c>
      <c r="K197" s="4" t="str">
        <f>cleaned_data[[#This Row],[Zipcode]]&amp;" - "&amp;cleaned_data[[#This Row],[Street Name]]</f>
        <v>06419 - Brunswick Ave.</v>
      </c>
      <c r="L197" s="4" t="str">
        <f>LEFT(cleaned_data[[#This Row],[First Name]],3)&amp;LEFT(cleaned_data[[#This Row],[Last Name]],3)&amp;cleaned_data[[#This Row],[Area Code]]</f>
        <v>LanFul709</v>
      </c>
      <c r="M197" s="4" t="str">
        <f>SUBSTITUTE(cleaned_data[[#This Row],[Street Address]],"St.","Street")</f>
        <v>600 Brunswick Ave.</v>
      </c>
      <c r="N197" s="4" t="str">
        <f>LEFT(cleaned_data[[#This Row],[Street Address]],FIND(" ",cleaned_data[[#This Row],[Street Address]])-1)</f>
        <v>600</v>
      </c>
      <c r="O197" s="16">
        <f>raw_data[[#This Row],[Req Date]]</f>
        <v>41682</v>
      </c>
      <c r="P197" s="4">
        <f>YEAR(cleaned_data[[#This Row],[Req Date]])</f>
        <v>2014</v>
      </c>
      <c r="Q197" s="4">
        <f>MONTH(cleaned_data[[#This Row],[Req Date]])</f>
        <v>2</v>
      </c>
      <c r="R197" s="4">
        <f>DAY(cleaned_data[[#This Row],[Req Date]])</f>
        <v>12</v>
      </c>
    </row>
    <row r="198" spans="1:18" ht="15.6" x14ac:dyDescent="0.25">
      <c r="A198" s="4" t="str">
        <f>raw_data[[#This Row],[First Name]]</f>
        <v>Alana</v>
      </c>
      <c r="B198" s="4" t="str">
        <f>raw_data[[#This Row],[Last Name]]</f>
        <v>Gould</v>
      </c>
      <c r="C198" s="4" t="str">
        <f>TRIM(cleaned_data[[#This Row],[First Name]]&amp; " "&amp;cleaned_data[[#This Row],[Last Name]])</f>
        <v>Alana Gould</v>
      </c>
      <c r="D198" s="4" t="str">
        <f>raw_data[[#This Row],[Phone]]</f>
        <v>(572) 206-2343</v>
      </c>
      <c r="E198" s="4" t="str">
        <f>MID(cleaned_data[[#This Row],[Phone]],FIND("(",cleaned_data[[#This Row],[Phone]])+1,3)</f>
        <v>572</v>
      </c>
      <c r="F198" s="4" t="str">
        <f>RIGHT(SUBSTITUTE(cleaned_data[[#This Row],[Phone]],"-",""),7)</f>
        <v>2062343</v>
      </c>
      <c r="G198" s="4" t="str">
        <f>SUBSTITUTE(SUBSTITUTE(SUBSTITUTE(cleaned_data[[#This Row],[Phone]],"(",""),")","")," ","")</f>
        <v>572206-2343</v>
      </c>
      <c r="H198" s="4" t="str">
        <f>raw_data[[#This Row],[Street Address]]</f>
        <v>1511 News St.</v>
      </c>
      <c r="I198" s="4" t="str">
        <f>TRIM(MID(cleaned_data[[#This Row],[Street Address]],FIND(" ",cleaned_data[[#This Row],[Street Address]])+1,LEN(cleaned_data[[#This Row],[Street Address]])))</f>
        <v>News St.</v>
      </c>
      <c r="J198" s="15" t="str">
        <f>raw_data[[#This Row],[Zipcode]]</f>
        <v>07843</v>
      </c>
      <c r="K198" s="4" t="str">
        <f>cleaned_data[[#This Row],[Zipcode]]&amp;" - "&amp;cleaned_data[[#This Row],[Street Name]]</f>
        <v>07843 - News St.</v>
      </c>
      <c r="L198" s="4" t="str">
        <f>LEFT(cleaned_data[[#This Row],[First Name]],3)&amp;LEFT(cleaned_data[[#This Row],[Last Name]],3)&amp;cleaned_data[[#This Row],[Area Code]]</f>
        <v>AlaGou572</v>
      </c>
      <c r="M198" s="4" t="str">
        <f>SUBSTITUTE(cleaned_data[[#This Row],[Street Address]],"St.","Street")</f>
        <v>1511 News Street</v>
      </c>
      <c r="N198" s="4" t="str">
        <f>LEFT(cleaned_data[[#This Row],[Street Address]],FIND(" ",cleaned_data[[#This Row],[Street Address]])-1)</f>
        <v>1511</v>
      </c>
      <c r="O198" s="16">
        <f>raw_data[[#This Row],[Req Date]]</f>
        <v>41666</v>
      </c>
      <c r="P198" s="4">
        <f>YEAR(cleaned_data[[#This Row],[Req Date]])</f>
        <v>2014</v>
      </c>
      <c r="Q198" s="4">
        <f>MONTH(cleaned_data[[#This Row],[Req Date]])</f>
        <v>1</v>
      </c>
      <c r="R198" s="4">
        <f>DAY(cleaned_data[[#This Row],[Req Date]])</f>
        <v>27</v>
      </c>
    </row>
    <row r="199" spans="1:18" ht="15.6" x14ac:dyDescent="0.25">
      <c r="A199" s="4" t="str">
        <f>raw_data[[#This Row],[First Name]]</f>
        <v>Nolan</v>
      </c>
      <c r="B199" s="4" t="str">
        <f>raw_data[[#This Row],[Last Name]]</f>
        <v>Pugh</v>
      </c>
      <c r="C199" s="4" t="str">
        <f>TRIM(cleaned_data[[#This Row],[First Name]]&amp; " "&amp;cleaned_data[[#This Row],[Last Name]])</f>
        <v>Nolan Pugh</v>
      </c>
      <c r="D199" s="4" t="str">
        <f>raw_data[[#This Row],[Phone]]</f>
        <v>(315) 325-5102</v>
      </c>
      <c r="E199" s="4" t="str">
        <f>MID(cleaned_data[[#This Row],[Phone]],FIND("(",cleaned_data[[#This Row],[Phone]])+1,3)</f>
        <v>315</v>
      </c>
      <c r="F199" s="4" t="str">
        <f>RIGHT(SUBSTITUTE(cleaned_data[[#This Row],[Phone]],"-",""),7)</f>
        <v>3255102</v>
      </c>
      <c r="G199" s="4" t="str">
        <f>SUBSTITUTE(SUBSTITUTE(SUBSTITUTE(cleaned_data[[#This Row],[Phone]],"(",""),")","")," ","")</f>
        <v>315325-5102</v>
      </c>
      <c r="H199" s="4" t="str">
        <f>raw_data[[#This Row],[Street Address]]</f>
        <v>5222 Tellus Street</v>
      </c>
      <c r="I199" s="4" t="str">
        <f>TRIM(MID(cleaned_data[[#This Row],[Street Address]],FIND(" ",cleaned_data[[#This Row],[Street Address]])+1,LEN(cleaned_data[[#This Row],[Street Address]])))</f>
        <v>Tellus Street</v>
      </c>
      <c r="J199" s="15" t="str">
        <f>raw_data[[#This Row],[Zipcode]]</f>
        <v>10911</v>
      </c>
      <c r="K199" s="4" t="str">
        <f>cleaned_data[[#This Row],[Zipcode]]&amp;" - "&amp;cleaned_data[[#This Row],[Street Name]]</f>
        <v>10911 - Tellus Street</v>
      </c>
      <c r="L199" s="4" t="str">
        <f>LEFT(cleaned_data[[#This Row],[First Name]],3)&amp;LEFT(cleaned_data[[#This Row],[Last Name]],3)&amp;cleaned_data[[#This Row],[Area Code]]</f>
        <v>NolPug315</v>
      </c>
      <c r="M199" s="4" t="str">
        <f>SUBSTITUTE(cleaned_data[[#This Row],[Street Address]],"St.","Street")</f>
        <v>5222 Tellus Street</v>
      </c>
      <c r="N199" s="4" t="str">
        <f>LEFT(cleaned_data[[#This Row],[Street Address]],FIND(" ",cleaned_data[[#This Row],[Street Address]])-1)</f>
        <v>5222</v>
      </c>
      <c r="O199" s="16">
        <f>raw_data[[#This Row],[Req Date]]</f>
        <v>41646</v>
      </c>
      <c r="P199" s="4">
        <f>YEAR(cleaned_data[[#This Row],[Req Date]])</f>
        <v>2014</v>
      </c>
      <c r="Q199" s="4">
        <f>MONTH(cleaned_data[[#This Row],[Req Date]])</f>
        <v>1</v>
      </c>
      <c r="R199" s="4">
        <f>DAY(cleaned_data[[#This Row],[Req Date]])</f>
        <v>7</v>
      </c>
    </row>
    <row r="200" spans="1:18" ht="15.6" x14ac:dyDescent="0.25">
      <c r="A200" s="4" t="str">
        <f>raw_data[[#This Row],[First Name]]</f>
        <v>Lilah</v>
      </c>
      <c r="B200" s="4" t="str">
        <f>raw_data[[#This Row],[Last Name]]</f>
        <v>Shields</v>
      </c>
      <c r="C200" s="4" t="str">
        <f>TRIM(cleaned_data[[#This Row],[First Name]]&amp; " "&amp;cleaned_data[[#This Row],[Last Name]])</f>
        <v>Lilah Shields</v>
      </c>
      <c r="D200" s="4" t="str">
        <f>raw_data[[#This Row],[Phone]]</f>
        <v>(826) 447-5607</v>
      </c>
      <c r="E200" s="4" t="str">
        <f>MID(cleaned_data[[#This Row],[Phone]],FIND("(",cleaned_data[[#This Row],[Phone]])+1,3)</f>
        <v>826</v>
      </c>
      <c r="F200" s="4" t="str">
        <f>RIGHT(SUBSTITUTE(cleaned_data[[#This Row],[Phone]],"-",""),7)</f>
        <v>4475607</v>
      </c>
      <c r="G200" s="4" t="str">
        <f>SUBSTITUTE(SUBSTITUTE(SUBSTITUTE(cleaned_data[[#This Row],[Phone]],"(",""),")","")," ","")</f>
        <v>826447-5607</v>
      </c>
      <c r="H200" s="4" t="str">
        <f>raw_data[[#This Row],[Street Address]]</f>
        <v>6964 Velvet Road</v>
      </c>
      <c r="I200" s="4" t="str">
        <f>TRIM(MID(cleaned_data[[#This Row],[Street Address]],FIND(" ",cleaned_data[[#This Row],[Street Address]])+1,LEN(cleaned_data[[#This Row],[Street Address]])))</f>
        <v>Velvet Road</v>
      </c>
      <c r="J200" s="15" t="str">
        <f>raw_data[[#This Row],[Zipcode]]</f>
        <v>19733</v>
      </c>
      <c r="K200" s="4" t="str">
        <f>cleaned_data[[#This Row],[Zipcode]]&amp;" - "&amp;cleaned_data[[#This Row],[Street Name]]</f>
        <v>19733 - Velvet Road</v>
      </c>
      <c r="L200" s="4" t="str">
        <f>LEFT(cleaned_data[[#This Row],[First Name]],3)&amp;LEFT(cleaned_data[[#This Row],[Last Name]],3)&amp;cleaned_data[[#This Row],[Area Code]]</f>
        <v>LilShi826</v>
      </c>
      <c r="M200" s="4" t="str">
        <f>SUBSTITUTE(cleaned_data[[#This Row],[Street Address]],"St.","Street")</f>
        <v>6964 Velvet Road</v>
      </c>
      <c r="N200" s="4" t="str">
        <f>LEFT(cleaned_data[[#This Row],[Street Address]],FIND(" ",cleaned_data[[#This Row],[Street Address]])-1)</f>
        <v>6964</v>
      </c>
      <c r="O200" s="16">
        <f>raw_data[[#This Row],[Req Date]]</f>
        <v>41655</v>
      </c>
      <c r="P200" s="4">
        <f>YEAR(cleaned_data[[#This Row],[Req Date]])</f>
        <v>2014</v>
      </c>
      <c r="Q200" s="4">
        <f>MONTH(cleaned_data[[#This Row],[Req Date]])</f>
        <v>1</v>
      </c>
      <c r="R200" s="4">
        <f>DAY(cleaned_data[[#This Row],[Req Date]])</f>
        <v>16</v>
      </c>
    </row>
    <row r="201" spans="1:18" ht="15.6" x14ac:dyDescent="0.25">
      <c r="A201" s="4" t="str">
        <f>raw_data[[#This Row],[First Name]]</f>
        <v>Brittany</v>
      </c>
      <c r="B201" s="4" t="str">
        <f>raw_data[[#This Row],[Last Name]]</f>
        <v>Powell</v>
      </c>
      <c r="C201" s="4" t="str">
        <f>TRIM(cleaned_data[[#This Row],[First Name]]&amp; " "&amp;cleaned_data[[#This Row],[Last Name]])</f>
        <v>Brittany Powell</v>
      </c>
      <c r="D201" s="4" t="str">
        <f>raw_data[[#This Row],[Phone]]</f>
        <v>(533) 330-6985</v>
      </c>
      <c r="E201" s="4" t="str">
        <f>MID(cleaned_data[[#This Row],[Phone]],FIND("(",cleaned_data[[#This Row],[Phone]])+1,3)</f>
        <v>533</v>
      </c>
      <c r="F201" s="4" t="str">
        <f>RIGHT(SUBSTITUTE(cleaned_data[[#This Row],[Phone]],"-",""),7)</f>
        <v>3306985</v>
      </c>
      <c r="G201" s="4" t="str">
        <f>SUBSTITUTE(SUBSTITUTE(SUBSTITUTE(cleaned_data[[#This Row],[Phone]],"(",""),")","")," ","")</f>
        <v>533330-6985</v>
      </c>
      <c r="H201" s="4" t="str">
        <f>raw_data[[#This Row],[Street Address]]</f>
        <v>6086 Consequat Rd.</v>
      </c>
      <c r="I201" s="4" t="str">
        <f>TRIM(MID(cleaned_data[[#This Row],[Street Address]],FIND(" ",cleaned_data[[#This Row],[Street Address]])+1,LEN(cleaned_data[[#This Row],[Street Address]])))</f>
        <v>Consequat Rd.</v>
      </c>
      <c r="J201" s="15" t="str">
        <f>raw_data[[#This Row],[Zipcode]]</f>
        <v>19734</v>
      </c>
      <c r="K201" s="4" t="str">
        <f>cleaned_data[[#This Row],[Zipcode]]&amp;" - "&amp;cleaned_data[[#This Row],[Street Name]]</f>
        <v>19734 - Consequat Rd.</v>
      </c>
      <c r="L201" s="4" t="str">
        <f>LEFT(cleaned_data[[#This Row],[First Name]],3)&amp;LEFT(cleaned_data[[#This Row],[Last Name]],3)&amp;cleaned_data[[#This Row],[Area Code]]</f>
        <v>BriPow533</v>
      </c>
      <c r="M201" s="4" t="str">
        <f>SUBSTITUTE(cleaned_data[[#This Row],[Street Address]],"St.","Street")</f>
        <v>6086 Consequat Rd.</v>
      </c>
      <c r="N201" s="4" t="str">
        <f>LEFT(cleaned_data[[#This Row],[Street Address]],FIND(" ",cleaned_data[[#This Row],[Street Address]])-1)</f>
        <v>6086</v>
      </c>
      <c r="O201" s="16">
        <f>raw_data[[#This Row],[Req Date]]</f>
        <v>41648</v>
      </c>
      <c r="P201" s="4">
        <f>YEAR(cleaned_data[[#This Row],[Req Date]])</f>
        <v>2014</v>
      </c>
      <c r="Q201" s="4">
        <f>MONTH(cleaned_data[[#This Row],[Req Date]])</f>
        <v>1</v>
      </c>
      <c r="R201" s="4">
        <f>DAY(cleaned_data[[#This Row],[Req Date]])</f>
        <v>9</v>
      </c>
    </row>
  </sheetData>
  <pageMargins left="0.7" right="0.7" top="0.75" bottom="0.75" header="0.3" footer="0.3"/>
  <pageSetup orientation="portrait" r:id="rId1"/>
  <ignoredErrors>
    <ignoredError sqref="E2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D58B-261A-420B-8B78-2AFBB6B5025C}">
  <sheetPr>
    <tabColor theme="7" tint="0.39997558519241921"/>
  </sheetPr>
  <dimension ref="A1:E9"/>
  <sheetViews>
    <sheetView showGridLines="0" workbookViewId="0">
      <selection activeCell="H13" sqref="H13"/>
    </sheetView>
  </sheetViews>
  <sheetFormatPr defaultRowHeight="15" x14ac:dyDescent="0.25"/>
  <cols>
    <col min="1" max="1" width="23.90625" bestFit="1" customWidth="1"/>
    <col min="2" max="2" width="14.81640625" bestFit="1" customWidth="1"/>
    <col min="3" max="3" width="13.36328125" bestFit="1" customWidth="1"/>
    <col min="4" max="4" width="9.453125" bestFit="1" customWidth="1"/>
    <col min="5" max="5" width="5.90625" bestFit="1" customWidth="1"/>
  </cols>
  <sheetData>
    <row r="1" spans="1:5" x14ac:dyDescent="0.25">
      <c r="A1" s="25" t="s">
        <v>1012</v>
      </c>
      <c r="B1" s="25"/>
      <c r="C1" s="25"/>
      <c r="D1" s="25"/>
      <c r="E1" s="25"/>
    </row>
    <row r="2" spans="1:5" x14ac:dyDescent="0.25">
      <c r="A2" s="25" t="s">
        <v>1013</v>
      </c>
      <c r="B2" s="25"/>
      <c r="C2" s="25"/>
      <c r="D2" s="25"/>
      <c r="E2" s="25"/>
    </row>
    <row r="4" spans="1:5" ht="31.2" x14ac:dyDescent="0.25">
      <c r="A4" s="1" t="s">
        <v>1014</v>
      </c>
      <c r="B4" s="1" t="s">
        <v>1015</v>
      </c>
      <c r="C4" s="1" t="s">
        <v>1016</v>
      </c>
      <c r="D4" s="1" t="s">
        <v>1017</v>
      </c>
      <c r="E4" s="1" t="s">
        <v>988</v>
      </c>
    </row>
    <row r="5" spans="1:5" ht="15.6" x14ac:dyDescent="0.25">
      <c r="A5" s="5" t="s">
        <v>991</v>
      </c>
      <c r="B5" s="5" t="str">
        <f>INDEX(cleaned_data[First Name],1)&amp;" "&amp;INDEX(cleaned_data[Last Name],1)</f>
        <v>Naomi Rev</v>
      </c>
      <c r="C5" s="5" t="str">
        <f>INDEX(cleaned_data[Full Name],1)</f>
        <v>Naomi Rev</v>
      </c>
      <c r="D5" s="5" t="str">
        <f>_xlfn.TEXTJOIN(" ",TRUE,INDEX(cleaned_data[First Name],1),INDEX(cleaned_data[Last Name],1))</f>
        <v>Naomi Rev</v>
      </c>
      <c r="E5" s="5" t="str">
        <f>IF(C5=D5,"PASS","CHECK")</f>
        <v>PASS</v>
      </c>
    </row>
    <row r="6" spans="1:5" ht="15.6" x14ac:dyDescent="0.25">
      <c r="A6" s="5" t="s">
        <v>992</v>
      </c>
      <c r="B6" s="5" t="str">
        <f>INDEX(cleaned_data[Phone],1)</f>
        <v>(383) 835-9398</v>
      </c>
      <c r="C6" s="5" t="str">
        <f>INDEX(cleaned_data[Area Code],1)</f>
        <v>383</v>
      </c>
      <c r="D6" s="5" t="str">
        <f>_xlfn.TEXTBEFORE(_xlfn.TEXTAFTER(B6,"("),")")</f>
        <v>383</v>
      </c>
      <c r="E6" s="5" t="str">
        <f>IF(C6=D6,"PASS","CHECK")</f>
        <v>PASS</v>
      </c>
    </row>
    <row r="7" spans="1:5" ht="15.6" x14ac:dyDescent="0.25">
      <c r="A7" s="5" t="s">
        <v>993</v>
      </c>
      <c r="B7" s="5" t="str">
        <f>INDEX(cleaned_data[Phone],1)</f>
        <v>(383) 835-9398</v>
      </c>
      <c r="C7" s="5" t="str">
        <f>INDEX(cleaned_data[Phone Number],1)</f>
        <v>8359398</v>
      </c>
      <c r="D7" s="5" t="str">
        <f>SUBSTITUTE(_xlfn.TEXTAFTER(B7," "),"-","")</f>
        <v>8359398</v>
      </c>
      <c r="E7" s="5" t="str">
        <f>IF(C7=D7,"PASS","CHECK")</f>
        <v>PASS</v>
      </c>
    </row>
    <row r="8" spans="1:5" ht="15.6" x14ac:dyDescent="0.25">
      <c r="A8" s="5" t="s">
        <v>995</v>
      </c>
      <c r="B8" s="5" t="str">
        <f>INDEX(cleaned_data[Street Address],1)</f>
        <v>41839 Franti Drive</v>
      </c>
      <c r="C8" s="5" t="str">
        <f>INDEX(cleaned_data[Street Name],1)</f>
        <v>Franti Drive</v>
      </c>
      <c r="D8" s="5" t="str">
        <f>_xlfn.TEXTAFTER(B8," ")</f>
        <v>Franti Drive</v>
      </c>
      <c r="E8" s="5" t="str">
        <f>IF(C8=D8,"PASS","CHECK")</f>
        <v>PASS</v>
      </c>
    </row>
    <row r="9" spans="1:5" ht="15.6" x14ac:dyDescent="0.25">
      <c r="A9" s="5" t="s">
        <v>1000</v>
      </c>
      <c r="B9" s="5" t="str">
        <f>INDEX(cleaned_data[Street Address],1)</f>
        <v>41839 Franti Drive</v>
      </c>
      <c r="C9" s="5" t="str">
        <f>INDEX(cleaned_data[House Number],1)</f>
        <v>41839</v>
      </c>
      <c r="D9" s="5" t="str">
        <f>_xlfn.TEXTBEFORE(B9," ")</f>
        <v>41839</v>
      </c>
      <c r="E9" s="5" t="str">
        <f>IF(C9=D9,"PASS","CHECK")</f>
        <v>PASS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4ED6-5110-44BF-B028-D5FEB17C6F46}">
  <sheetPr>
    <tabColor theme="7" tint="0.59999389629810485"/>
  </sheetPr>
  <dimension ref="A1:D19"/>
  <sheetViews>
    <sheetView showGridLines="0" workbookViewId="0">
      <selection activeCell="F5" sqref="F5"/>
    </sheetView>
  </sheetViews>
  <sheetFormatPr defaultRowHeight="15.6" x14ac:dyDescent="0.25"/>
  <cols>
    <col min="1" max="1" width="20.453125" style="4" bestFit="1" customWidth="1"/>
    <col min="2" max="16384" width="8.7265625" style="4"/>
  </cols>
  <sheetData>
    <row r="1" spans="1:4" x14ac:dyDescent="0.25">
      <c r="A1" s="2" t="s">
        <v>1005</v>
      </c>
      <c r="B1" s="3"/>
    </row>
    <row r="3" spans="1:4" ht="31.2" x14ac:dyDescent="0.25">
      <c r="A3" s="1" t="s">
        <v>985</v>
      </c>
      <c r="B3" s="1" t="s">
        <v>986</v>
      </c>
      <c r="C3" s="1" t="s">
        <v>987</v>
      </c>
      <c r="D3" s="1" t="s">
        <v>988</v>
      </c>
    </row>
    <row r="4" spans="1:4" x14ac:dyDescent="0.25">
      <c r="A4" s="5" t="s">
        <v>989</v>
      </c>
      <c r="B4" s="5">
        <f>ROWS(raw_data[First Name])</f>
        <v>200</v>
      </c>
      <c r="C4" s="5">
        <f>ROWS(cleaned_data[First Name])</f>
        <v>200</v>
      </c>
      <c r="D4" s="5" t="str">
        <f t="shared" ref="D4:D19" si="0">IF(B4=C4,"PASS","CHECK")</f>
        <v>PASS</v>
      </c>
    </row>
    <row r="5" spans="1:4" x14ac:dyDescent="0.25">
      <c r="A5" s="5" t="s">
        <v>990</v>
      </c>
      <c r="B5" s="5">
        <f>0</f>
        <v>0</v>
      </c>
      <c r="C5" s="5">
        <f>COUNTBLANK(raw_data[First Name])+COUNTBLANK(raw_data[Last Name])+COUNTBLANK(raw_data[Phone])+COUNTBLANK(raw_data[Street Address])+COUNTBLANK(raw_data[Zipcode])+COUNTBLANK(raw_data[Req Date])</f>
        <v>0</v>
      </c>
      <c r="D5" s="5" t="str">
        <f t="shared" si="0"/>
        <v>PASS</v>
      </c>
    </row>
    <row r="6" spans="1:4" x14ac:dyDescent="0.25">
      <c r="A6" s="5" t="s">
        <v>991</v>
      </c>
      <c r="B6" s="5">
        <f>0</f>
        <v>0</v>
      </c>
      <c r="C6" s="5" cm="1">
        <f t="array" ref="C6">SUMPRODUCT(--(cleaned_data[Full Name]&lt;&gt;TRIM(cleaned_data[First Name]&amp;" "&amp;cleaned_data[Last Name])))</f>
        <v>0</v>
      </c>
      <c r="D6" s="5" t="str">
        <f t="shared" si="0"/>
        <v>PASS</v>
      </c>
    </row>
    <row r="7" spans="1:4" x14ac:dyDescent="0.25">
      <c r="A7" s="5" t="s">
        <v>992</v>
      </c>
      <c r="B7" s="5">
        <f>0</f>
        <v>0</v>
      </c>
      <c r="C7" s="5" cm="1">
        <f t="array" ref="C7">SUMPRODUCT(--(cleaned_data[Area Code]&lt;&gt;MID(cleaned_data[Phone],2,3)))</f>
        <v>0</v>
      </c>
      <c r="D7" s="5" t="str">
        <f t="shared" si="0"/>
        <v>PASS</v>
      </c>
    </row>
    <row r="8" spans="1:4" x14ac:dyDescent="0.25">
      <c r="A8" s="5" t="s">
        <v>993</v>
      </c>
      <c r="B8" s="5">
        <f>0</f>
        <v>0</v>
      </c>
      <c r="C8" s="5" cm="1">
        <f t="array" ref="C8">SUMPRODUCT(--(cleaned_data[Phone Number]&lt;&gt;RIGHT(SUBSTITUTE(cleaned_data[Phone],"-",""),7)))</f>
        <v>0</v>
      </c>
      <c r="D8" s="5" t="str">
        <f t="shared" si="0"/>
        <v>PASS</v>
      </c>
    </row>
    <row r="9" spans="1:4" x14ac:dyDescent="0.25">
      <c r="A9" s="5" t="s">
        <v>994</v>
      </c>
      <c r="B9" s="5">
        <f>0</f>
        <v>0</v>
      </c>
      <c r="C9" s="5" cm="1">
        <f t="array" ref="C9">SUMPRODUCT(--(cleaned_data[Clean Phone]&lt;&gt;SUBSTITUTE(SUBSTITUTE(SUBSTITUTE(cleaned_data[Phone],"(",""),")","")," ","")))</f>
        <v>0</v>
      </c>
      <c r="D9" s="5" t="str">
        <f t="shared" si="0"/>
        <v>PASS</v>
      </c>
    </row>
    <row r="10" spans="1:4" x14ac:dyDescent="0.25">
      <c r="A10" s="5" t="s">
        <v>995</v>
      </c>
      <c r="B10" s="5">
        <f>0</f>
        <v>0</v>
      </c>
      <c r="C10" s="5" cm="1">
        <f t="array" ref="C10">SUMPRODUCT(--(cleaned_data[Street Name]&lt;&gt;TRIM(MID(cleaned_data[Street Address],FIND(" ",cleaned_data[Street Address])+1,LEN(cleaned_data[Street Address])))))</f>
        <v>0</v>
      </c>
      <c r="D10" s="5" t="str">
        <f t="shared" si="0"/>
        <v>PASS</v>
      </c>
    </row>
    <row r="11" spans="1:4" x14ac:dyDescent="0.25">
      <c r="A11" s="5" t="s">
        <v>996</v>
      </c>
      <c r="B11" s="5">
        <f>0</f>
        <v>0</v>
      </c>
      <c r="C11" s="5" cm="1">
        <f t="array" ref="C11">SUMPRODUCT(--(cleaned_data[Zipcode - Street Name]&lt;&gt;(cleaned_data[Zipcode]&amp;" - "&amp;cleaned_data[Street Name])))</f>
        <v>0</v>
      </c>
      <c r="D11" s="5" t="str">
        <f t="shared" si="0"/>
        <v>PASS</v>
      </c>
    </row>
    <row r="12" spans="1:4" x14ac:dyDescent="0.25">
      <c r="A12" s="5" t="s">
        <v>997</v>
      </c>
      <c r="B12" s="5">
        <f>0</f>
        <v>0</v>
      </c>
      <c r="C12" s="5" cm="1">
        <f t="array" ref="C12">SUMPRODUCT(--(cleaned_data[Unique ID]&lt;&gt;(LEFT(cleaned_data[First Name],3)&amp;LEFT(cleaned_data[Last Name],3)&amp;cleaned_data[Area Code])))</f>
        <v>0</v>
      </c>
      <c r="D12" s="5" t="str">
        <f t="shared" si="0"/>
        <v>PASS</v>
      </c>
    </row>
    <row r="13" spans="1:4" x14ac:dyDescent="0.25">
      <c r="A13" s="5" t="s">
        <v>998</v>
      </c>
      <c r="B13" s="5">
        <f>0</f>
        <v>0</v>
      </c>
      <c r="C13" s="5">
        <f>ROWS(cleaned_data[Unique ID])-ROWS(_xlfn.UNIQUE(cleaned_data[Unique ID]))</f>
        <v>0</v>
      </c>
      <c r="D13" s="5" t="str">
        <f t="shared" si="0"/>
        <v>PASS</v>
      </c>
    </row>
    <row r="14" spans="1:4" x14ac:dyDescent="0.25">
      <c r="A14" s="5" t="s">
        <v>999</v>
      </c>
      <c r="B14" s="5">
        <f>0</f>
        <v>0</v>
      </c>
      <c r="C14" s="5" cm="1">
        <f t="array" ref="C14">SUMPRODUCT(--(cleaned_data[Standardized Address]&lt;&gt;SUBSTITUTE(cleaned_data[Street Address],"St.","Street")))</f>
        <v>0</v>
      </c>
      <c r="D14" s="5" t="str">
        <f t="shared" si="0"/>
        <v>PASS</v>
      </c>
    </row>
    <row r="15" spans="1:4" x14ac:dyDescent="0.25">
      <c r="A15" s="5" t="s">
        <v>1000</v>
      </c>
      <c r="B15" s="5">
        <f>0</f>
        <v>0</v>
      </c>
      <c r="C15" s="5" cm="1">
        <f t="array" ref="C15">SUMPRODUCT(--(cleaned_data[House Number]&lt;&gt;LEFT(cleaned_data[Street Address],FIND(" ",cleaned_data[Street Address])-1)))</f>
        <v>0</v>
      </c>
      <c r="D15" s="5" t="str">
        <f t="shared" si="0"/>
        <v>PASS</v>
      </c>
    </row>
    <row r="16" spans="1:4" x14ac:dyDescent="0.25">
      <c r="A16" s="5" t="s">
        <v>1001</v>
      </c>
      <c r="B16" s="5">
        <f>0</f>
        <v>0</v>
      </c>
      <c r="C16" s="5" cm="1">
        <f t="array" ref="C16">SUMPRODUCT(--(cleaned_data[Year]&lt;&gt;YEAR(cleaned_data[Req Date])))</f>
        <v>0</v>
      </c>
      <c r="D16" s="5" t="str">
        <f t="shared" si="0"/>
        <v>PASS</v>
      </c>
    </row>
    <row r="17" spans="1:4" x14ac:dyDescent="0.25">
      <c r="A17" s="5" t="s">
        <v>1002</v>
      </c>
      <c r="B17" s="5">
        <f>0</f>
        <v>0</v>
      </c>
      <c r="C17" s="5" cm="1">
        <f t="array" ref="C17">SUMPRODUCT(--(cleaned_data[Month]&lt;&gt;MONTH(cleaned_data[Req Date])))</f>
        <v>0</v>
      </c>
      <c r="D17" s="5" t="str">
        <f t="shared" si="0"/>
        <v>PASS</v>
      </c>
    </row>
    <row r="18" spans="1:4" x14ac:dyDescent="0.25">
      <c r="A18" s="5" t="s">
        <v>1003</v>
      </c>
      <c r="B18" s="5">
        <f>0</f>
        <v>0</v>
      </c>
      <c r="C18" s="5" cm="1">
        <f t="array" ref="C18">SUMPRODUCT(--(cleaned_data[Day]&lt;&gt;DAY(cleaned_data[Req Date])))</f>
        <v>0</v>
      </c>
      <c r="D18" s="5" t="str">
        <f t="shared" si="0"/>
        <v>PASS</v>
      </c>
    </row>
    <row r="19" spans="1:4" x14ac:dyDescent="0.25">
      <c r="A19" s="5" t="s">
        <v>1004</v>
      </c>
      <c r="B19" s="5">
        <f>0</f>
        <v>0</v>
      </c>
      <c r="C19" s="5" cm="1">
        <f t="array" ref="C19">SUMPRODUCT(--ISERROR(cleaned_data[#Data]))</f>
        <v>0</v>
      </c>
      <c r="D19" s="5" t="str">
        <f t="shared" si="0"/>
        <v>PASS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3D20-8C1A-47AE-AD7B-680FB0F9DFDF}">
  <sheetPr>
    <tabColor theme="7" tint="0.79998168889431442"/>
  </sheetPr>
  <dimension ref="A1:G59"/>
  <sheetViews>
    <sheetView showGridLines="0" tabSelected="1" topLeftCell="A9" workbookViewId="0">
      <selection activeCell="G24" sqref="G24:G25"/>
    </sheetView>
  </sheetViews>
  <sheetFormatPr defaultRowHeight="15" x14ac:dyDescent="0.25"/>
  <cols>
    <col min="1" max="1" width="13.6328125" customWidth="1"/>
    <col min="2" max="2" width="31.7265625" bestFit="1" customWidth="1"/>
    <col min="3" max="3" width="22.90625" bestFit="1" customWidth="1"/>
    <col min="5" max="5" width="16.7265625" bestFit="1" customWidth="1"/>
    <col min="6" max="6" width="31.7265625" bestFit="1" customWidth="1"/>
    <col min="7" max="7" width="15.1796875" customWidth="1"/>
  </cols>
  <sheetData>
    <row r="1" spans="1:7" ht="15.6" x14ac:dyDescent="0.25">
      <c r="A1" s="26" t="s">
        <v>1019</v>
      </c>
      <c r="B1" s="26"/>
    </row>
    <row r="2" spans="1:7" ht="15.6" x14ac:dyDescent="0.25">
      <c r="A2" s="26" t="s">
        <v>1030</v>
      </c>
      <c r="B2" s="26"/>
    </row>
    <row r="3" spans="1:7" s="18" customFormat="1" ht="15.6" x14ac:dyDescent="0.25">
      <c r="A3" s="17"/>
      <c r="B3" s="17"/>
    </row>
    <row r="4" spans="1:7" ht="15.6" x14ac:dyDescent="0.25">
      <c r="A4" s="1" t="s">
        <v>1018</v>
      </c>
      <c r="B4" s="1" t="s">
        <v>1019</v>
      </c>
      <c r="C4" s="2" t="s">
        <v>1031</v>
      </c>
      <c r="D4" s="19"/>
      <c r="E4" s="2" t="s">
        <v>1033</v>
      </c>
      <c r="F4" s="2"/>
      <c r="G4" s="2"/>
    </row>
    <row r="5" spans="1:7" ht="15.6" customHeight="1" x14ac:dyDescent="0.25">
      <c r="A5" s="1" t="s">
        <v>1020</v>
      </c>
      <c r="B5" s="1" t="s">
        <v>1021</v>
      </c>
      <c r="C5" s="27" t="s">
        <v>1032</v>
      </c>
      <c r="D5" s="21"/>
      <c r="E5" s="1" t="s">
        <v>1034</v>
      </c>
      <c r="F5" s="1" t="s">
        <v>1035</v>
      </c>
      <c r="G5" s="1" t="s">
        <v>1036</v>
      </c>
    </row>
    <row r="6" spans="1:7" ht="15.6" x14ac:dyDescent="0.25">
      <c r="A6" s="1" t="s">
        <v>1022</v>
      </c>
      <c r="B6" s="1" t="s">
        <v>1023</v>
      </c>
      <c r="C6" s="27"/>
      <c r="D6" s="21"/>
      <c r="E6" s="1" t="s">
        <v>0</v>
      </c>
      <c r="F6" s="1" t="s">
        <v>1037</v>
      </c>
      <c r="G6" s="1" t="s">
        <v>1038</v>
      </c>
    </row>
    <row r="7" spans="1:7" ht="15.6" x14ac:dyDescent="0.25">
      <c r="A7" s="1" t="s">
        <v>1024</v>
      </c>
      <c r="B7" s="1" t="s">
        <v>1025</v>
      </c>
      <c r="C7" s="27"/>
      <c r="D7" s="21"/>
      <c r="E7" s="1" t="s">
        <v>1</v>
      </c>
      <c r="F7" s="1" t="s">
        <v>1037</v>
      </c>
      <c r="G7" s="1" t="s">
        <v>1039</v>
      </c>
    </row>
    <row r="8" spans="1:7" ht="31.2" x14ac:dyDescent="0.25">
      <c r="A8" s="1" t="s">
        <v>1026</v>
      </c>
      <c r="B8" s="1">
        <v>200</v>
      </c>
      <c r="C8" s="27"/>
      <c r="D8" s="21"/>
      <c r="E8" s="1" t="s">
        <v>587</v>
      </c>
      <c r="F8" s="1" t="s">
        <v>1037</v>
      </c>
      <c r="G8" s="1" t="s">
        <v>1040</v>
      </c>
    </row>
    <row r="9" spans="1:7" ht="31.2" x14ac:dyDescent="0.25">
      <c r="A9" s="1" t="s">
        <v>1027</v>
      </c>
      <c r="B9" s="1" t="s">
        <v>1028</v>
      </c>
      <c r="C9" s="27"/>
      <c r="D9" s="21"/>
      <c r="E9" s="1" t="s">
        <v>588</v>
      </c>
      <c r="F9" s="1" t="s">
        <v>1037</v>
      </c>
      <c r="G9" s="1" t="s">
        <v>1041</v>
      </c>
    </row>
    <row r="10" spans="1:7" ht="15.6" x14ac:dyDescent="0.25">
      <c r="A10" s="1" t="s">
        <v>988</v>
      </c>
      <c r="B10" s="1" t="s">
        <v>1029</v>
      </c>
      <c r="C10" s="20"/>
      <c r="D10" s="21"/>
      <c r="E10" s="1" t="s">
        <v>589</v>
      </c>
      <c r="F10" s="1" t="s">
        <v>1037</v>
      </c>
      <c r="G10" s="1" t="s">
        <v>1042</v>
      </c>
    </row>
    <row r="11" spans="1:7" ht="15.6" x14ac:dyDescent="0.25">
      <c r="E11" s="1" t="s">
        <v>590</v>
      </c>
      <c r="F11" s="1" t="s">
        <v>974</v>
      </c>
      <c r="G11" s="1" t="s">
        <v>1043</v>
      </c>
    </row>
    <row r="13" spans="1:7" ht="15.6" x14ac:dyDescent="0.25">
      <c r="A13" s="26" t="s">
        <v>1044</v>
      </c>
      <c r="B13" s="26"/>
      <c r="C13" s="26"/>
      <c r="E13" s="26" t="s">
        <v>1070</v>
      </c>
      <c r="F13" s="26"/>
      <c r="G13" s="26"/>
    </row>
    <row r="14" spans="1:7" ht="15.6" x14ac:dyDescent="0.25">
      <c r="A14" s="1" t="s">
        <v>1034</v>
      </c>
      <c r="B14" s="1" t="s">
        <v>1045</v>
      </c>
      <c r="C14" s="1" t="s">
        <v>1046</v>
      </c>
      <c r="E14" s="1" t="s">
        <v>1014</v>
      </c>
      <c r="F14" s="1" t="s">
        <v>1071</v>
      </c>
      <c r="G14" s="1" t="s">
        <v>1072</v>
      </c>
    </row>
    <row r="15" spans="1:7" ht="15.6" x14ac:dyDescent="0.25">
      <c r="A15" s="1" t="s">
        <v>976</v>
      </c>
      <c r="B15" s="1" t="s">
        <v>1047</v>
      </c>
      <c r="C15" s="1" t="s">
        <v>1048</v>
      </c>
      <c r="E15" s="1" t="s">
        <v>976</v>
      </c>
      <c r="F15" s="1" t="s">
        <v>1073</v>
      </c>
      <c r="G15" s="1" t="s">
        <v>975</v>
      </c>
    </row>
    <row r="16" spans="1:7" ht="15.6" x14ac:dyDescent="0.25">
      <c r="A16" s="1" t="s">
        <v>977</v>
      </c>
      <c r="B16" s="1" t="s">
        <v>1049</v>
      </c>
      <c r="C16" s="1" t="s">
        <v>1050</v>
      </c>
      <c r="E16" s="1" t="s">
        <v>977</v>
      </c>
      <c r="F16" s="1" t="s">
        <v>1074</v>
      </c>
      <c r="G16" s="1">
        <v>383</v>
      </c>
    </row>
    <row r="17" spans="1:7" ht="15.6" x14ac:dyDescent="0.25">
      <c r="A17" s="1" t="s">
        <v>978</v>
      </c>
      <c r="B17" s="1" t="s">
        <v>1051</v>
      </c>
      <c r="C17" s="1" t="s">
        <v>1052</v>
      </c>
      <c r="E17" s="1" t="s">
        <v>978</v>
      </c>
      <c r="F17" s="1" t="s">
        <v>1075</v>
      </c>
      <c r="G17" s="1">
        <v>8359398</v>
      </c>
    </row>
    <row r="18" spans="1:7" ht="15.6" x14ac:dyDescent="0.25">
      <c r="A18" s="1" t="s">
        <v>979</v>
      </c>
      <c r="B18" s="1" t="s">
        <v>1053</v>
      </c>
      <c r="C18" s="1" t="s">
        <v>1054</v>
      </c>
      <c r="E18" s="1" t="s">
        <v>979</v>
      </c>
      <c r="F18" s="1" t="s">
        <v>1076</v>
      </c>
      <c r="G18" s="1" t="s">
        <v>1007</v>
      </c>
    </row>
    <row r="19" spans="1:7" ht="15.6" x14ac:dyDescent="0.25">
      <c r="A19" s="1" t="s">
        <v>980</v>
      </c>
      <c r="B19" s="1" t="s">
        <v>1055</v>
      </c>
      <c r="C19" s="1" t="s">
        <v>1056</v>
      </c>
      <c r="E19" s="1" t="s">
        <v>980</v>
      </c>
      <c r="F19" s="1" t="s">
        <v>1077</v>
      </c>
      <c r="G19" s="1" t="s">
        <v>1008</v>
      </c>
    </row>
    <row r="20" spans="1:7" ht="31.2" x14ac:dyDescent="0.25">
      <c r="A20" s="1" t="s">
        <v>981</v>
      </c>
      <c r="B20" s="1" t="s">
        <v>1057</v>
      </c>
      <c r="C20" s="1" t="s">
        <v>1058</v>
      </c>
      <c r="E20" s="1" t="s">
        <v>1078</v>
      </c>
      <c r="F20" s="1" t="s">
        <v>1079</v>
      </c>
      <c r="G20" s="1" t="s">
        <v>1009</v>
      </c>
    </row>
    <row r="21" spans="1:7" ht="15.6" x14ac:dyDescent="0.25">
      <c r="A21" s="1" t="s">
        <v>982</v>
      </c>
      <c r="B21" s="1" t="s">
        <v>1059</v>
      </c>
      <c r="C21" s="1" t="s">
        <v>1060</v>
      </c>
      <c r="E21" s="1" t="s">
        <v>982</v>
      </c>
      <c r="F21" s="1" t="s">
        <v>1080</v>
      </c>
      <c r="G21" s="1" t="s">
        <v>1010</v>
      </c>
    </row>
    <row r="22" spans="1:7" ht="31.2" x14ac:dyDescent="0.25">
      <c r="A22" s="1" t="s">
        <v>983</v>
      </c>
      <c r="B22" s="1" t="s">
        <v>1061</v>
      </c>
      <c r="C22" s="1" t="s">
        <v>1062</v>
      </c>
      <c r="E22" s="1" t="s">
        <v>983</v>
      </c>
      <c r="F22" s="1" t="s">
        <v>1081</v>
      </c>
      <c r="G22" s="1" t="s">
        <v>1011</v>
      </c>
    </row>
    <row r="23" spans="1:7" ht="15.6" x14ac:dyDescent="0.25">
      <c r="A23" s="1" t="s">
        <v>971</v>
      </c>
      <c r="B23" s="1" t="s">
        <v>1063</v>
      </c>
      <c r="C23" s="1" t="s">
        <v>1064</v>
      </c>
      <c r="E23" s="1" t="s">
        <v>971</v>
      </c>
      <c r="F23" s="1" t="s">
        <v>1082</v>
      </c>
      <c r="G23" s="1">
        <v>41839</v>
      </c>
    </row>
    <row r="24" spans="1:7" ht="15.6" x14ac:dyDescent="0.25">
      <c r="A24" s="1" t="s">
        <v>984</v>
      </c>
      <c r="B24" s="1" t="s">
        <v>1065</v>
      </c>
      <c r="C24" s="1" t="s">
        <v>1066</v>
      </c>
      <c r="E24" s="1" t="s">
        <v>1083</v>
      </c>
      <c r="F24" s="1" t="s">
        <v>1084</v>
      </c>
      <c r="G24" s="1" t="s">
        <v>1143</v>
      </c>
    </row>
    <row r="25" spans="1:7" ht="15.6" x14ac:dyDescent="0.25">
      <c r="A25" s="1" t="s">
        <v>972</v>
      </c>
      <c r="B25" s="1" t="s">
        <v>1067</v>
      </c>
      <c r="C25" s="1" t="s">
        <v>1068</v>
      </c>
      <c r="E25" s="1" t="s">
        <v>984</v>
      </c>
      <c r="F25" s="1" t="s">
        <v>1085</v>
      </c>
      <c r="G25" s="1">
        <v>2014</v>
      </c>
    </row>
    <row r="26" spans="1:7" ht="15.6" x14ac:dyDescent="0.25">
      <c r="A26" s="1" t="s">
        <v>973</v>
      </c>
      <c r="B26" s="1" t="s">
        <v>1069</v>
      </c>
      <c r="C26" s="1" t="s">
        <v>1068</v>
      </c>
    </row>
    <row r="29" spans="1:7" ht="15.6" x14ac:dyDescent="0.25">
      <c r="A29" s="26" t="s">
        <v>1086</v>
      </c>
      <c r="B29" s="26"/>
      <c r="C29" s="26"/>
      <c r="E29" s="26" t="s">
        <v>1107</v>
      </c>
      <c r="F29" s="26"/>
      <c r="G29" s="26"/>
    </row>
    <row r="30" spans="1:7" ht="31.2" x14ac:dyDescent="0.25">
      <c r="A30" s="1" t="s">
        <v>1087</v>
      </c>
      <c r="B30" s="1" t="s">
        <v>1088</v>
      </c>
      <c r="C30" s="1" t="s">
        <v>1072</v>
      </c>
      <c r="E30" s="1" t="s">
        <v>985</v>
      </c>
      <c r="F30" s="1" t="s">
        <v>1045</v>
      </c>
      <c r="G30" s="1" t="s">
        <v>1108</v>
      </c>
    </row>
    <row r="31" spans="1:7" ht="15.6" x14ac:dyDescent="0.25">
      <c r="A31" s="1" t="s">
        <v>1089</v>
      </c>
      <c r="B31" s="1" t="s">
        <v>1090</v>
      </c>
      <c r="C31" s="1" t="s">
        <v>976</v>
      </c>
      <c r="E31" s="1" t="s">
        <v>989</v>
      </c>
      <c r="F31" s="1" t="s">
        <v>1109</v>
      </c>
      <c r="G31" s="1" t="s">
        <v>1110</v>
      </c>
    </row>
    <row r="32" spans="1:7" ht="31.2" x14ac:dyDescent="0.25">
      <c r="A32" s="1" t="s">
        <v>966</v>
      </c>
      <c r="B32" s="1" t="s">
        <v>1091</v>
      </c>
      <c r="C32" s="1" t="s">
        <v>1092</v>
      </c>
      <c r="E32" s="1" t="s">
        <v>990</v>
      </c>
      <c r="F32" s="1" t="s">
        <v>1111</v>
      </c>
      <c r="G32" s="1" t="s">
        <v>1110</v>
      </c>
    </row>
    <row r="33" spans="1:7" ht="31.2" x14ac:dyDescent="0.25">
      <c r="A33" s="1" t="s">
        <v>965</v>
      </c>
      <c r="B33" s="1" t="s">
        <v>1093</v>
      </c>
      <c r="C33" s="1" t="s">
        <v>978</v>
      </c>
      <c r="E33" s="1" t="s">
        <v>1112</v>
      </c>
      <c r="F33" s="1" t="s">
        <v>1113</v>
      </c>
      <c r="G33" s="1" t="s">
        <v>1110</v>
      </c>
    </row>
    <row r="34" spans="1:7" ht="15.6" x14ac:dyDescent="0.25">
      <c r="A34" s="1" t="s">
        <v>967</v>
      </c>
      <c r="B34" s="1" t="s">
        <v>1094</v>
      </c>
      <c r="C34" s="1" t="s">
        <v>1095</v>
      </c>
      <c r="E34" s="1" t="s">
        <v>1114</v>
      </c>
      <c r="F34" s="1" t="s">
        <v>1115</v>
      </c>
      <c r="G34" s="1" t="s">
        <v>1110</v>
      </c>
    </row>
    <row r="35" spans="1:7" ht="15.6" x14ac:dyDescent="0.25">
      <c r="A35" s="1" t="s">
        <v>969</v>
      </c>
      <c r="B35" s="1" t="s">
        <v>1096</v>
      </c>
      <c r="C35" s="1" t="s">
        <v>1097</v>
      </c>
      <c r="E35" s="1" t="s">
        <v>1083</v>
      </c>
      <c r="F35" s="1" t="s">
        <v>1116</v>
      </c>
      <c r="G35" s="1" t="s">
        <v>1110</v>
      </c>
    </row>
    <row r="36" spans="1:7" ht="15.6" x14ac:dyDescent="0.25">
      <c r="A36" s="1" t="s">
        <v>970</v>
      </c>
      <c r="B36" s="1" t="s">
        <v>1098</v>
      </c>
      <c r="C36" s="1" t="s">
        <v>1097</v>
      </c>
      <c r="E36" s="1" t="s">
        <v>1004</v>
      </c>
      <c r="F36" s="1" t="s">
        <v>1117</v>
      </c>
      <c r="G36" s="1" t="s">
        <v>1110</v>
      </c>
    </row>
    <row r="37" spans="1:7" ht="15.6" x14ac:dyDescent="0.25">
      <c r="A37" s="1" t="s">
        <v>968</v>
      </c>
      <c r="B37" s="1" t="s">
        <v>1099</v>
      </c>
      <c r="C37" s="1" t="s">
        <v>976</v>
      </c>
    </row>
    <row r="38" spans="1:7" ht="15.6" x14ac:dyDescent="0.25">
      <c r="A38" s="1" t="s">
        <v>1100</v>
      </c>
      <c r="B38" s="1" t="s">
        <v>1101</v>
      </c>
      <c r="C38" s="1" t="s">
        <v>1102</v>
      </c>
      <c r="E38" s="26" t="s">
        <v>1118</v>
      </c>
      <c r="F38" s="26"/>
      <c r="G38" s="26"/>
    </row>
    <row r="39" spans="1:7" ht="15.6" x14ac:dyDescent="0.25">
      <c r="A39" s="1" t="s">
        <v>1103</v>
      </c>
      <c r="B39" s="1" t="s">
        <v>1101</v>
      </c>
      <c r="C39" s="1" t="s">
        <v>1104</v>
      </c>
      <c r="E39" s="1" t="s">
        <v>1119</v>
      </c>
      <c r="F39" s="1" t="s">
        <v>1045</v>
      </c>
      <c r="G39" s="1" t="s">
        <v>1120</v>
      </c>
    </row>
    <row r="40" spans="1:7" ht="31.2" x14ac:dyDescent="0.25">
      <c r="A40" s="1" t="s">
        <v>1105</v>
      </c>
      <c r="B40" s="1" t="s">
        <v>1106</v>
      </c>
      <c r="C40" s="1" t="s">
        <v>590</v>
      </c>
      <c r="E40" s="1" t="s">
        <v>1121</v>
      </c>
      <c r="F40" s="1" t="s">
        <v>1122</v>
      </c>
      <c r="G40" s="1" t="s">
        <v>1123</v>
      </c>
    </row>
    <row r="41" spans="1:7" ht="31.2" x14ac:dyDescent="0.25">
      <c r="A41" s="1"/>
      <c r="B41" s="1"/>
      <c r="C41" s="1"/>
      <c r="E41" s="1" t="s">
        <v>1124</v>
      </c>
      <c r="F41" s="1" t="s">
        <v>1125</v>
      </c>
      <c r="G41" s="1" t="s">
        <v>1126</v>
      </c>
    </row>
    <row r="42" spans="1:7" ht="46.8" x14ac:dyDescent="0.25">
      <c r="E42" s="1" t="s">
        <v>1006</v>
      </c>
      <c r="F42" s="1" t="s">
        <v>1127</v>
      </c>
      <c r="G42" s="1" t="s">
        <v>1128</v>
      </c>
    </row>
    <row r="43" spans="1:7" ht="31.2" x14ac:dyDescent="0.25">
      <c r="A43" s="26" t="s">
        <v>1134</v>
      </c>
      <c r="B43" s="26"/>
      <c r="E43" s="1" t="s">
        <v>1107</v>
      </c>
      <c r="F43" s="1" t="s">
        <v>1129</v>
      </c>
      <c r="G43" s="1" t="s">
        <v>1130</v>
      </c>
    </row>
    <row r="44" spans="1:7" ht="31.2" x14ac:dyDescent="0.25">
      <c r="A44" s="1" t="s">
        <v>1135</v>
      </c>
      <c r="B44" s="1" t="s">
        <v>1136</v>
      </c>
      <c r="E44" s="1" t="s">
        <v>1131</v>
      </c>
      <c r="F44" s="1" t="s">
        <v>1132</v>
      </c>
      <c r="G44" s="1" t="s">
        <v>1133</v>
      </c>
    </row>
    <row r="45" spans="1:7" ht="15.6" x14ac:dyDescent="0.25">
      <c r="A45" s="1" t="s">
        <v>589</v>
      </c>
      <c r="B45" s="1" t="s">
        <v>1137</v>
      </c>
    </row>
    <row r="46" spans="1:7" ht="31.2" x14ac:dyDescent="0.25">
      <c r="A46" s="1" t="s">
        <v>587</v>
      </c>
      <c r="B46" s="1" t="s">
        <v>1138</v>
      </c>
    </row>
    <row r="47" spans="1:7" ht="31.2" x14ac:dyDescent="0.25">
      <c r="A47" s="1" t="s">
        <v>971</v>
      </c>
      <c r="B47" s="1" t="s">
        <v>1139</v>
      </c>
    </row>
    <row r="48" spans="1:7" ht="31.2" x14ac:dyDescent="0.25">
      <c r="A48" s="1" t="s">
        <v>984</v>
      </c>
      <c r="B48" s="1" t="s">
        <v>1140</v>
      </c>
    </row>
    <row r="49" spans="1:3" ht="15.6" x14ac:dyDescent="0.25">
      <c r="A49" s="1" t="s">
        <v>1141</v>
      </c>
      <c r="B49" s="1" t="s">
        <v>1142</v>
      </c>
    </row>
    <row r="59" spans="1:3" ht="15.6" x14ac:dyDescent="0.25">
      <c r="C59" s="19"/>
    </row>
  </sheetData>
  <mergeCells count="9">
    <mergeCell ref="A1:B1"/>
    <mergeCell ref="A2:B2"/>
    <mergeCell ref="E38:G38"/>
    <mergeCell ref="A43:B43"/>
    <mergeCell ref="C5:C9"/>
    <mergeCell ref="A13:C13"/>
    <mergeCell ref="E13:G13"/>
    <mergeCell ref="A29:C29"/>
    <mergeCell ref="E29:G2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B852259-7B8A-4AC4-A353-B7EB44F8B8DD}">
  <ds:schemaRefs/>
</ds:datastoreItem>
</file>

<file path=customXml/itemProps2.xml><?xml version="1.0" encoding="utf-8"?>
<ds:datastoreItem xmlns:ds="http://schemas.openxmlformats.org/officeDocument/2006/customXml" ds:itemID="{32B9FD98-1A9B-477D-BEC8-550B7B7E92E8}">
  <ds:schemaRefs/>
</ds:datastoreItem>
</file>

<file path=customXml/itemProps3.xml><?xml version="1.0" encoding="utf-8"?>
<ds:datastoreItem xmlns:ds="http://schemas.openxmlformats.org/officeDocument/2006/customXml" ds:itemID="{5AF09140-7E28-4B2D-8AF8-6CB4599E14A9}">
  <ds:schemaRefs/>
</ds:datastoreItem>
</file>

<file path=customXml/itemProps4.xml><?xml version="1.0" encoding="utf-8"?>
<ds:datastoreItem xmlns:ds="http://schemas.openxmlformats.org/officeDocument/2006/customXml" ds:itemID="{D52938CA-4B35-46E6-B9B7-1799900CD730}">
  <ds:schemaRefs/>
</ds:datastoreItem>
</file>

<file path=customXml/itemProps5.xml><?xml version="1.0" encoding="utf-8"?>
<ds:datastoreItem xmlns:ds="http://schemas.openxmlformats.org/officeDocument/2006/customXml" ds:itemID="{67D9A83C-F143-4FBD-BBA7-13B9CFE09FE0}">
  <ds:schemaRefs/>
</ds:datastoreItem>
</file>

<file path=customXml/itemProps6.xml><?xml version="1.0" encoding="utf-8"?>
<ds:datastoreItem xmlns:ds="http://schemas.openxmlformats.org/officeDocument/2006/customXml" ds:itemID="{CEF5C807-32AB-41B3-9629-95FA0F882597}">
  <ds:schemaRefs/>
</ds:datastoreItem>
</file>

<file path=customXml/itemProps7.xml><?xml version="1.0" encoding="utf-8"?>
<ds:datastoreItem xmlns:ds="http://schemas.openxmlformats.org/officeDocument/2006/customXml" ds:itemID="{EFCF0104-87E4-4941-AD8C-7D01DDE8043D}">
  <ds:schemaRefs/>
</ds:datastoreItem>
</file>

<file path=customXml/itemProps8.xml><?xml version="1.0" encoding="utf-8"?>
<ds:datastoreItem xmlns:ds="http://schemas.openxmlformats.org/officeDocument/2006/customXml" ds:itemID="{E4FA5668-9D81-488E-8F25-4BB9CCBB332A}">
  <ds:schemaRefs/>
</ds:datastoreItem>
</file>

<file path=customXml/itemProps9.xml><?xml version="1.0" encoding="utf-8"?>
<ds:datastoreItem xmlns:ds="http://schemas.openxmlformats.org/officeDocument/2006/customXml" ds:itemID="{8790033F-EA97-4966-8CDA-A3F709E95F87}">
  <ds:schemaRefs/>
</ds:datastoreItem>
</file>

<file path=customXml/itemProps10.xml><?xml version="1.0" encoding="utf-8"?>
<ds:datastoreItem xmlns:ds="http://schemas.openxmlformats.org/officeDocument/2006/customXml" ds:itemID="{1ABA31CF-0E23-4324-95F3-056CDDB36022}">
  <ds:schemaRefs/>
</ds:datastoreItem>
</file>

<file path=customXml/itemProps11.xml><?xml version="1.0" encoding="utf-8"?>
<ds:datastoreItem xmlns:ds="http://schemas.openxmlformats.org/officeDocument/2006/customXml" ds:itemID="{D344B6A1-425C-4AD9-8B20-2E35CD201D90}">
  <ds:schemaRefs/>
</ds:datastoreItem>
</file>

<file path=customXml/itemProps12.xml><?xml version="1.0" encoding="utf-8"?>
<ds:datastoreItem xmlns:ds="http://schemas.openxmlformats.org/officeDocument/2006/customXml" ds:itemID="{D6B606B5-0767-4448-917E-B9154B3ABCE9}">
  <ds:schemaRefs/>
</ds:datastoreItem>
</file>

<file path=customXml/itemProps13.xml><?xml version="1.0" encoding="utf-8"?>
<ds:datastoreItem xmlns:ds="http://schemas.openxmlformats.org/officeDocument/2006/customXml" ds:itemID="{677A493D-9447-48FC-8F5A-598CAD26F7F0}">
  <ds:schemaRefs/>
</ds:datastoreItem>
</file>

<file path=customXml/itemProps14.xml><?xml version="1.0" encoding="utf-8"?>
<ds:datastoreItem xmlns:ds="http://schemas.openxmlformats.org/officeDocument/2006/customXml" ds:itemID="{7556E323-CB9E-4828-9B16-CABD7FFFD1CC}">
  <ds:schemaRefs/>
</ds:datastoreItem>
</file>

<file path=customXml/itemProps15.xml><?xml version="1.0" encoding="utf-8"?>
<ds:datastoreItem xmlns:ds="http://schemas.openxmlformats.org/officeDocument/2006/customXml" ds:itemID="{667F7A31-C8C1-4B84-BDDD-D5EABA090C70}">
  <ds:schemaRefs/>
</ds:datastoreItem>
</file>

<file path=customXml/itemProps16.xml><?xml version="1.0" encoding="utf-8"?>
<ds:datastoreItem xmlns:ds="http://schemas.openxmlformats.org/officeDocument/2006/customXml" ds:itemID="{44FF3A6C-484E-418C-9E99-5D81916B9F0E}">
  <ds:schemaRefs/>
</ds:datastoreItem>
</file>

<file path=customXml/itemProps17.xml><?xml version="1.0" encoding="utf-8"?>
<ds:datastoreItem xmlns:ds="http://schemas.openxmlformats.org/officeDocument/2006/customXml" ds:itemID="{774EBE7C-01D0-45FE-85DB-11BCC367E3EA}">
  <ds:schemaRefs/>
</ds:datastoreItem>
</file>

<file path=customXml/itemProps18.xml><?xml version="1.0" encoding="utf-8"?>
<ds:datastoreItem xmlns:ds="http://schemas.openxmlformats.org/officeDocument/2006/customXml" ds:itemID="{8EFF6183-007C-4A24-8853-2B45116342A0}">
  <ds:schemaRefs/>
</ds:datastoreItem>
</file>

<file path=customXml/itemProps19.xml><?xml version="1.0" encoding="utf-8"?>
<ds:datastoreItem xmlns:ds="http://schemas.openxmlformats.org/officeDocument/2006/customXml" ds:itemID="{B5CF654D-DEE4-47BF-A696-5B6D3F2B5DE4}">
  <ds:schemaRefs/>
</ds:datastoreItem>
</file>

<file path=customXml/itemProps20.xml><?xml version="1.0" encoding="utf-8"?>
<ds:datastoreItem xmlns:ds="http://schemas.openxmlformats.org/officeDocument/2006/customXml" ds:itemID="{5BBA46BD-4FEE-4988-99F1-5BECD90A55BC}">
  <ds:schemaRefs/>
</ds:datastoreItem>
</file>

<file path=customXml/itemProps21.xml><?xml version="1.0" encoding="utf-8"?>
<ds:datastoreItem xmlns:ds="http://schemas.openxmlformats.org/officeDocument/2006/customXml" ds:itemID="{114ABB7D-04EE-4546-91B4-387600EBD1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Alternative_Methods</vt:lpstr>
      <vt:lpstr>Validation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2026-08-13T22:20:10Z</dcterms:created>
  <dcterms:modified xsi:type="dcterms:W3CDTF">2026-08-13T22:25:19Z</dcterms:modified>
</cp:coreProperties>
</file>